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Cover" sheetId="1" state="visible" r:id="rId3"/>
    <sheet name="02_Product_Spec" sheetId="2" state="visible" r:id="rId4"/>
    <sheet name="03_BOM_L1_SubAssy" sheetId="3" state="visible" r:id="rId5"/>
    <sheet name="04_BOM_L2_Stator" sheetId="4" state="visible" r:id="rId6"/>
    <sheet name="05_BOM_L2_Rotor" sheetId="5" state="visible" r:id="rId7"/>
    <sheet name="06_BOM_L2_Housing" sheetId="6" state="visible" r:id="rId8"/>
    <sheet name="07_BOM_L2_PE" sheetId="7" state="visible" r:id="rId9"/>
    <sheet name="08_BOM_L2_Drive" sheetId="8" state="visible" r:id="rId10"/>
    <sheet name="09_BOM_Flat_Consolidated" sheetId="9" state="visible" r:id="rId11"/>
    <sheet name="10_BOP_Armature_Line" sheetId="10" state="visible" r:id="rId12"/>
    <sheet name="11_BOP_Assembly_Line" sheetId="11" state="visible" r:id="rId13"/>
    <sheet name="12_Line_Bala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<sst xmlns="http://schemas.openxmlformats.org/spreadsheetml/2006/main" count="1036" uniqueCount="524">
  <si>
    <t xml:space="preserve">BLDC-500W-48V  BOM &amp; BOP Master Workbook</t>
  </si>
  <si>
    <t xml:space="preserve">문서명</t>
  </si>
  <si>
    <r>
      <rPr>
        <sz val="11"/>
        <color theme="1"/>
        <rFont val="Calibri"/>
        <family val="2"/>
        <charset val="1"/>
      </rPr>
      <t xml:space="preserve">BLDC </t>
    </r>
    <r>
      <rPr>
        <sz val="11"/>
        <color theme="1"/>
        <rFont val="Noto Sans CJK SC"/>
        <family val="2"/>
      </rPr>
      <t xml:space="preserve">모터 </t>
    </r>
    <r>
      <rPr>
        <sz val="11"/>
        <color theme="1"/>
        <rFont val="Calibri"/>
        <family val="2"/>
        <charset val="1"/>
      </rPr>
      <t xml:space="preserve">BOM/BOP </t>
    </r>
    <r>
      <rPr>
        <sz val="11"/>
        <color theme="1"/>
        <rFont val="Noto Sans CJK SC"/>
        <family val="2"/>
      </rPr>
      <t xml:space="preserve">통합 스프레드시트</t>
    </r>
  </si>
  <si>
    <t xml:space="preserve">모델</t>
  </si>
  <si>
    <t xml:space="preserve">BLDC-500W-48V</t>
  </si>
  <si>
    <t xml:space="preserve">작성일</t>
  </si>
  <si>
    <t xml:space="preserve">2026-09-09</t>
  </si>
  <si>
    <t xml:space="preserve">버전</t>
  </si>
  <si>
    <t xml:space="preserve">Rev 1.0</t>
  </si>
  <si>
    <t xml:space="preserve">작성자</t>
  </si>
  <si>
    <t xml:space="preserve">가상 공정 설계팀</t>
  </si>
  <si>
    <t xml:space="preserve">시트 구성</t>
  </si>
  <si>
    <t xml:space="preserve">Sheet</t>
  </si>
  <si>
    <t xml:space="preserve">설명</t>
  </si>
  <si>
    <t xml:space="preserve">01_Cover</t>
  </si>
  <si>
    <r>
      <rPr>
        <sz val="10"/>
        <rFont val="Noto Sans CJK SC"/>
        <family val="2"/>
      </rPr>
      <t xml:space="preserve">표지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시트 설명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범례</t>
    </r>
  </si>
  <si>
    <t xml:space="preserve">02_Product_Spec</t>
  </si>
  <si>
    <r>
      <rPr>
        <sz val="10"/>
        <rFont val="Noto Sans CJK SC"/>
        <family val="2"/>
      </rPr>
      <t xml:space="preserve">완성품 사양 </t>
    </r>
    <r>
      <rPr>
        <sz val="10"/>
        <rFont val="Malgun Gothic"/>
        <family val="0"/>
        <charset val="1"/>
      </rPr>
      <t xml:space="preserve">(Level 0)</t>
    </r>
  </si>
  <si>
    <t xml:space="preserve">03_BOM_L1_SubAssy</t>
  </si>
  <si>
    <r>
      <rPr>
        <sz val="10"/>
        <rFont val="Noto Sans CJK SC"/>
        <family val="2"/>
      </rPr>
      <t xml:space="preserve">서브 어셈블리 </t>
    </r>
    <r>
      <rPr>
        <sz val="10"/>
        <rFont val="Malgun Gothic"/>
        <family val="0"/>
        <charset val="1"/>
      </rPr>
      <t xml:space="preserve">BOM (Level 1)</t>
    </r>
  </si>
  <si>
    <t xml:space="preserve">04_BOM_L2_Stator</t>
  </si>
  <si>
    <r>
      <rPr>
        <sz val="10"/>
        <rFont val="Malgun Gothic"/>
        <family val="0"/>
        <charset val="1"/>
      </rPr>
      <t xml:space="preserve">Stator </t>
    </r>
    <r>
      <rPr>
        <sz val="10"/>
        <rFont val="Noto Sans CJK SC"/>
        <family val="2"/>
      </rPr>
      <t xml:space="preserve">계열 상세 </t>
    </r>
    <r>
      <rPr>
        <sz val="10"/>
        <rFont val="Malgun Gothic"/>
        <family val="0"/>
        <charset val="1"/>
      </rPr>
      <t xml:space="preserve">BOM (Level 2/3)</t>
    </r>
  </si>
  <si>
    <t xml:space="preserve">05_BOM_L2_Rotor</t>
  </si>
  <si>
    <r>
      <rPr>
        <sz val="10"/>
        <rFont val="Malgun Gothic"/>
        <family val="0"/>
        <charset val="1"/>
      </rPr>
      <t xml:space="preserve">Rotor </t>
    </r>
    <r>
      <rPr>
        <sz val="10"/>
        <rFont val="Noto Sans CJK SC"/>
        <family val="2"/>
      </rPr>
      <t xml:space="preserve">계열 상세 </t>
    </r>
    <r>
      <rPr>
        <sz val="10"/>
        <rFont val="Malgun Gothic"/>
        <family val="0"/>
        <charset val="1"/>
      </rPr>
      <t xml:space="preserve">BOM</t>
    </r>
  </si>
  <si>
    <t xml:space="preserve">06_BOM_L2_Housing</t>
  </si>
  <si>
    <r>
      <rPr>
        <sz val="10"/>
        <rFont val="Malgun Gothic"/>
        <family val="0"/>
        <charset val="1"/>
      </rPr>
      <t xml:space="preserve">Housing/Bearing </t>
    </r>
    <r>
      <rPr>
        <sz val="10"/>
        <rFont val="Noto Sans CJK SC"/>
        <family val="2"/>
      </rPr>
      <t xml:space="preserve">계열 상세 </t>
    </r>
    <r>
      <rPr>
        <sz val="10"/>
        <rFont val="Malgun Gothic"/>
        <family val="0"/>
        <charset val="1"/>
      </rPr>
      <t xml:space="preserve">BOM</t>
    </r>
  </si>
  <si>
    <t xml:space="preserve">07_BOM_L2_PE</t>
  </si>
  <si>
    <r>
      <rPr>
        <sz val="10"/>
        <rFont val="Malgun Gothic"/>
        <family val="0"/>
        <charset val="1"/>
      </rPr>
      <t xml:space="preserve">Power Electronics </t>
    </r>
    <r>
      <rPr>
        <sz val="10"/>
        <rFont val="Noto Sans CJK SC"/>
        <family val="2"/>
      </rPr>
      <t xml:space="preserve">계열 상세 </t>
    </r>
    <r>
      <rPr>
        <sz val="10"/>
        <rFont val="Malgun Gothic"/>
        <family val="0"/>
        <charset val="1"/>
      </rPr>
      <t xml:space="preserve">BOM</t>
    </r>
  </si>
  <si>
    <t xml:space="preserve">08_BOM_L2_Drive</t>
  </si>
  <si>
    <r>
      <rPr>
        <sz val="10"/>
        <rFont val="Malgun Gothic"/>
        <family val="0"/>
        <charset val="1"/>
      </rPr>
      <t xml:space="preserve">Shaft/Gearbox/ParkingLock </t>
    </r>
    <r>
      <rPr>
        <sz val="10"/>
        <rFont val="Noto Sans CJK SC"/>
        <family val="2"/>
      </rPr>
      <t xml:space="preserve">계열 상세 </t>
    </r>
    <r>
      <rPr>
        <sz val="10"/>
        <rFont val="Malgun Gothic"/>
        <family val="0"/>
        <charset val="1"/>
      </rPr>
      <t xml:space="preserve">BOM</t>
    </r>
  </si>
  <si>
    <t xml:space="preserve">09_BOM_Flat_Consolidated</t>
  </si>
  <si>
    <r>
      <rPr>
        <sz val="10"/>
        <rFont val="Noto Sans CJK SC"/>
        <family val="2"/>
      </rPr>
      <t xml:space="preserve">단품 전개 통합 </t>
    </r>
    <r>
      <rPr>
        <sz val="10"/>
        <rFont val="Malgun Gothic"/>
        <family val="0"/>
        <charset val="1"/>
      </rPr>
      <t xml:space="preserve">BOM (Where-Used, </t>
    </r>
    <r>
      <rPr>
        <sz val="10"/>
        <rFont val="Noto Sans CJK SC"/>
        <family val="2"/>
      </rPr>
      <t xml:space="preserve">소요량 계수 포함</t>
    </r>
    <r>
      <rPr>
        <sz val="10"/>
        <rFont val="Malgun Gothic"/>
        <family val="0"/>
        <charset val="1"/>
      </rPr>
      <t xml:space="preserve">)</t>
    </r>
  </si>
  <si>
    <t xml:space="preserve">10_BOP_Armature_Line</t>
  </si>
  <si>
    <r>
      <rPr>
        <sz val="10"/>
        <rFont val="Noto Sans CJK SC"/>
        <family val="2"/>
      </rPr>
      <t xml:space="preserve">아마추어 라인 공정도 </t>
    </r>
    <r>
      <rPr>
        <sz val="10"/>
        <rFont val="Malgun Gothic"/>
        <family val="0"/>
        <charset val="1"/>
      </rPr>
      <t xml:space="preserve">(10 </t>
    </r>
    <r>
      <rPr>
        <sz val="10"/>
        <rFont val="Noto Sans CJK SC"/>
        <family val="2"/>
      </rPr>
      <t xml:space="preserve">공정</t>
    </r>
    <r>
      <rPr>
        <sz val="10"/>
        <rFont val="Malgun Gothic"/>
        <family val="0"/>
        <charset val="1"/>
      </rPr>
      <t xml:space="preserve">)</t>
    </r>
  </si>
  <si>
    <t xml:space="preserve">11_BOP_Assembly_Line</t>
  </si>
  <si>
    <r>
      <rPr>
        <sz val="10"/>
        <rFont val="Noto Sans CJK SC"/>
        <family val="2"/>
      </rPr>
      <t xml:space="preserve">조립 라인 공정도 </t>
    </r>
    <r>
      <rPr>
        <sz val="10"/>
        <rFont val="Malgun Gothic"/>
        <family val="0"/>
        <charset val="1"/>
      </rPr>
      <t xml:space="preserve">(12 </t>
    </r>
    <r>
      <rPr>
        <sz val="10"/>
        <rFont val="Noto Sans CJK SC"/>
        <family val="2"/>
      </rPr>
      <t xml:space="preserve">공정</t>
    </r>
    <r>
      <rPr>
        <sz val="10"/>
        <rFont val="Malgun Gothic"/>
        <family val="0"/>
        <charset val="1"/>
      </rPr>
      <t xml:space="preserve">)</t>
    </r>
  </si>
  <si>
    <t xml:space="preserve">12_Line_Balance</t>
  </si>
  <si>
    <r>
      <rPr>
        <sz val="10"/>
        <rFont val="Noto Sans CJK SC"/>
        <family val="2"/>
      </rPr>
      <t xml:space="preserve">라인 밸런싱 </t>
    </r>
    <r>
      <rPr>
        <sz val="10"/>
        <rFont val="Malgun Gothic"/>
        <family val="0"/>
        <charset val="1"/>
      </rPr>
      <t xml:space="preserve">· UPH </t>
    </r>
    <r>
      <rPr>
        <sz val="10"/>
        <rFont val="Noto Sans CJK SC"/>
        <family val="2"/>
      </rPr>
      <t xml:space="preserve">산출</t>
    </r>
  </si>
  <si>
    <r>
      <rPr>
        <b val="true"/>
        <sz val="10"/>
        <rFont val="Noto Sans CJK SC"/>
        <family val="2"/>
      </rPr>
      <t xml:space="preserve">범례 </t>
    </r>
    <r>
      <rPr>
        <b val="true"/>
        <sz val="10"/>
        <rFont val="Malgun Gothic"/>
        <family val="0"/>
        <charset val="1"/>
      </rPr>
      <t xml:space="preserve">(Legend)</t>
    </r>
  </si>
  <si>
    <t xml:space="preserve">파란 글씨</t>
  </si>
  <si>
    <r>
      <rPr>
        <sz val="10"/>
        <rFont val="Noto Sans CJK SC"/>
        <family val="2"/>
      </rPr>
      <t xml:space="preserve">입력값 </t>
    </r>
    <r>
      <rPr>
        <sz val="10"/>
        <rFont val="Malgun Gothic"/>
        <family val="0"/>
        <charset val="1"/>
      </rPr>
      <t xml:space="preserve">(Hardcoded input) — </t>
    </r>
    <r>
      <rPr>
        <sz val="10"/>
        <rFont val="Noto Sans CJK SC"/>
        <family val="2"/>
      </rPr>
      <t xml:space="preserve">자유롭게 편집</t>
    </r>
  </si>
  <si>
    <t xml:space="preserve">검정 글씨</t>
  </si>
  <si>
    <t xml:space="preserve">수식으로 계산된 값 — 편집 금지</t>
  </si>
  <si>
    <t xml:space="preserve">녹색 글씨</t>
  </si>
  <si>
    <t xml:space="preserve">다른 시트 참조 링크</t>
  </si>
  <si>
    <t xml:space="preserve">노란 배경</t>
  </si>
  <si>
    <r>
      <rPr>
        <sz val="10"/>
        <rFont val="Malgun Gothic"/>
        <family val="0"/>
        <charset val="1"/>
      </rPr>
      <t xml:space="preserve">Key </t>
    </r>
    <r>
      <rPr>
        <sz val="10"/>
        <rFont val="Noto Sans CJK SC"/>
        <family val="2"/>
      </rPr>
      <t xml:space="preserve">지표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합계</t>
    </r>
  </si>
  <si>
    <t xml:space="preserve">주황 배경</t>
  </si>
  <si>
    <r>
      <rPr>
        <sz val="10"/>
        <rFont val="Noto Sans CJK SC"/>
        <family val="2"/>
      </rPr>
      <t xml:space="preserve">병목 후보 공정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라인 밸런싱 검토 필요</t>
    </r>
    <r>
      <rPr>
        <sz val="10"/>
        <rFont val="Malgun Gothic"/>
        <family val="0"/>
        <charset val="1"/>
      </rPr>
      <t xml:space="preserve">)</t>
    </r>
  </si>
  <si>
    <t xml:space="preserve">보라 배경</t>
  </si>
  <si>
    <r>
      <rPr>
        <sz val="10"/>
        <rFont val="Noto Sans CJK SC"/>
        <family val="2"/>
      </rPr>
      <t xml:space="preserve">배치 공정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라인 흐름과 분리 운영</t>
    </r>
    <r>
      <rPr>
        <sz val="10"/>
        <rFont val="Malgun Gothic"/>
        <family val="0"/>
        <charset val="1"/>
      </rPr>
      <t xml:space="preserve">)</t>
    </r>
  </si>
  <si>
    <t xml:space="preserve">파랑 배경</t>
  </si>
  <si>
    <r>
      <rPr>
        <sz val="10"/>
        <rFont val="Noto Sans CJK SC"/>
        <family val="2"/>
      </rPr>
      <t xml:space="preserve">품질 시험 공정 </t>
    </r>
    <r>
      <rPr>
        <sz val="10"/>
        <rFont val="Malgun Gothic"/>
        <family val="0"/>
        <charset val="1"/>
      </rPr>
      <t xml:space="preserve">(Gate QC)</t>
    </r>
  </si>
  <si>
    <t xml:space="preserve">녹색 배경</t>
  </si>
  <si>
    <r>
      <rPr>
        <sz val="10"/>
        <rFont val="Noto Sans CJK SC"/>
        <family val="2"/>
      </rPr>
      <t xml:space="preserve">완성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출하 공정</t>
    </r>
  </si>
  <si>
    <r>
      <rPr>
        <b val="true"/>
        <sz val="14"/>
        <color rgb="FFFFFFFF"/>
        <rFont val="Malgun Gothic"/>
        <family val="0"/>
        <charset val="1"/>
      </rPr>
      <t xml:space="preserve">Level 0 — </t>
    </r>
    <r>
      <rPr>
        <b val="true"/>
        <sz val="14"/>
        <color rgb="FFFFFFFF"/>
        <rFont val="Noto Sans CJK SC"/>
        <family val="2"/>
      </rPr>
      <t xml:space="preserve">완성품 사양</t>
    </r>
  </si>
  <si>
    <t xml:space="preserve">항목</t>
  </si>
  <si>
    <t xml:space="preserve">값</t>
  </si>
  <si>
    <t xml:space="preserve">비고</t>
  </si>
  <si>
    <t xml:space="preserve">모델명</t>
  </si>
  <si>
    <t xml:space="preserve">가상 사양</t>
  </si>
  <si>
    <t xml:space="preserve">정격 출력</t>
  </si>
  <si>
    <t xml:space="preserve">500 W</t>
  </si>
  <si>
    <t xml:space="preserve">정격 전압</t>
  </si>
  <si>
    <t xml:space="preserve">48 VDC</t>
  </si>
  <si>
    <t xml:space="preserve">정격 회전수</t>
  </si>
  <si>
    <t xml:space="preserve">3,000 RPM</t>
  </si>
  <si>
    <r>
      <rPr>
        <sz val="10"/>
        <rFont val="Noto Sans CJK SC"/>
        <family val="2"/>
      </rPr>
      <t xml:space="preserve">극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슬롯 구조</t>
    </r>
  </si>
  <si>
    <t xml:space="preserve">8-Pole / 12-Slot (Inner Rotor)</t>
  </si>
  <si>
    <t xml:space="preserve">센서</t>
  </si>
  <si>
    <r>
      <rPr>
        <sz val="10"/>
        <rFont val="Malgun Gothic"/>
        <family val="0"/>
        <charset val="1"/>
      </rPr>
      <t xml:space="preserve">Hall Sensor 3ea (120° </t>
    </r>
    <r>
      <rPr>
        <sz val="10"/>
        <rFont val="Noto Sans CJK SC"/>
        <family val="2"/>
      </rPr>
      <t xml:space="preserve">배치</t>
    </r>
    <r>
      <rPr>
        <sz val="10"/>
        <rFont val="Malgun Gothic"/>
        <family val="0"/>
        <charset val="1"/>
      </rPr>
      <t xml:space="preserve">)</t>
    </r>
  </si>
  <si>
    <t xml:space="preserve">냉각</t>
  </si>
  <si>
    <t xml:space="preserve">자연 공랭</t>
  </si>
  <si>
    <t xml:space="preserve">보호등급</t>
  </si>
  <si>
    <r>
      <rPr>
        <sz val="10"/>
        <rFont val="Malgun Gothic"/>
        <family val="0"/>
        <charset val="1"/>
      </rPr>
      <t xml:space="preserve">IP54 (Cable Gland </t>
    </r>
    <r>
      <rPr>
        <sz val="10"/>
        <rFont val="Noto Sans CJK SC"/>
        <family val="2"/>
      </rPr>
      <t xml:space="preserve">조립 시 </t>
    </r>
    <r>
      <rPr>
        <sz val="10"/>
        <rFont val="Malgun Gothic"/>
        <family val="0"/>
        <charset val="1"/>
      </rPr>
      <t xml:space="preserve">IP65)</t>
    </r>
  </si>
  <si>
    <t xml:space="preserve">용도</t>
  </si>
  <si>
    <r>
      <rPr>
        <sz val="10"/>
        <rFont val="Noto Sans CJK SC"/>
        <family val="2"/>
      </rPr>
      <t xml:space="preserve">산업용 서보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전동공구</t>
    </r>
  </si>
  <si>
    <r>
      <rPr>
        <sz val="10"/>
        <rFont val="Noto Sans CJK SC"/>
        <family val="2"/>
      </rPr>
      <t xml:space="preserve">완성품 </t>
    </r>
    <r>
      <rPr>
        <sz val="10"/>
        <rFont val="Malgun Gothic"/>
        <family val="0"/>
        <charset val="1"/>
      </rPr>
      <t xml:space="preserve">P/N</t>
    </r>
  </si>
  <si>
    <t xml:space="preserve">Level 0</t>
  </si>
  <si>
    <t xml:space="preserve">서브 어셈블리 수</t>
  </si>
  <si>
    <r>
      <rPr>
        <sz val="10"/>
        <rFont val="Malgun Gothic"/>
        <family val="0"/>
        <charset val="1"/>
      </rPr>
      <t xml:space="preserve">L1 </t>
    </r>
    <r>
      <rPr>
        <sz val="10"/>
        <rFont val="Noto Sans CJK SC"/>
        <family val="2"/>
      </rPr>
      <t xml:space="preserve">기준</t>
    </r>
  </si>
  <si>
    <t xml:space="preserve">총 공정 수</t>
  </si>
  <si>
    <r>
      <rPr>
        <sz val="10"/>
        <rFont val="Noto Sans CJK SC"/>
        <family val="2"/>
      </rPr>
      <t xml:space="preserve">아마추어 </t>
    </r>
    <r>
      <rPr>
        <sz val="10"/>
        <rFont val="Malgun Gothic"/>
        <family val="0"/>
        <charset val="1"/>
      </rPr>
      <t xml:space="preserve">10 + </t>
    </r>
    <r>
      <rPr>
        <sz val="10"/>
        <rFont val="Noto Sans CJK SC"/>
        <family val="2"/>
      </rPr>
      <t xml:space="preserve">조립 </t>
    </r>
    <r>
      <rPr>
        <sz val="10"/>
        <rFont val="Malgun Gothic"/>
        <family val="0"/>
        <charset val="1"/>
      </rPr>
      <t xml:space="preserve">12</t>
    </r>
  </si>
  <si>
    <r>
      <rPr>
        <b val="true"/>
        <sz val="14"/>
        <color rgb="FFFFFFFF"/>
        <rFont val="Malgun Gothic"/>
        <family val="0"/>
        <charset val="1"/>
      </rPr>
      <t xml:space="preserve">Level 1 — </t>
    </r>
    <r>
      <rPr>
        <b val="true"/>
        <sz val="14"/>
        <color rgb="FFFFFFFF"/>
        <rFont val="Noto Sans CJK SC"/>
        <family val="2"/>
      </rPr>
      <t xml:space="preserve">서브 어셈블리 </t>
    </r>
    <r>
      <rPr>
        <b val="true"/>
        <sz val="14"/>
        <color rgb="FFFFFFFF"/>
        <rFont val="Malgun Gothic"/>
        <family val="0"/>
        <charset val="1"/>
      </rPr>
      <t xml:space="preserve">BOM (</t>
    </r>
    <r>
      <rPr>
        <b val="true"/>
        <sz val="14"/>
        <color rgb="FFFFFFFF"/>
        <rFont val="Noto Sans CJK SC"/>
        <family val="2"/>
      </rPr>
      <t xml:space="preserve">완성품당 소요량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</si>
  <si>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t xml:space="preserve">P/N</t>
  </si>
  <si>
    <t xml:space="preserve">품명</t>
  </si>
  <si>
    <t xml:space="preserve">소요량</t>
  </si>
  <si>
    <t xml:space="preserve">단위</t>
  </si>
  <si>
    <t xml:space="preserve">소속 라인</t>
  </si>
  <si>
    <r>
      <rPr>
        <b val="true"/>
        <sz val="11"/>
        <color rgb="FFFFFFFF"/>
        <rFont val="Malgun Gothic"/>
        <family val="0"/>
        <charset val="1"/>
      </rPr>
      <t xml:space="preserve">L2 </t>
    </r>
    <r>
      <rPr>
        <b val="true"/>
        <sz val="11"/>
        <color rgb="FFFFFFFF"/>
        <rFont val="Noto Sans CJK SC"/>
        <family val="2"/>
      </rPr>
      <t xml:space="preserve">참조 시트</t>
    </r>
  </si>
  <si>
    <t xml:space="preserve">SA-1000</t>
  </si>
  <si>
    <t xml:space="preserve">Stator (Armature) Assy</t>
  </si>
  <si>
    <t xml:space="preserve">EA</t>
  </si>
  <si>
    <t xml:space="preserve">아마추어 라인</t>
  </si>
  <si>
    <r>
      <rPr>
        <sz val="10"/>
        <rFont val="Noto Sans CJK SC"/>
        <family val="2"/>
      </rPr>
      <t xml:space="preserve">권선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함침 완료품</t>
    </r>
  </si>
  <si>
    <t xml:space="preserve">RA-2000</t>
  </si>
  <si>
    <t xml:space="preserve">Rotor Assy</t>
  </si>
  <si>
    <r>
      <rPr>
        <sz val="10"/>
        <rFont val="Noto Sans CJK SC"/>
        <family val="2"/>
      </rPr>
      <t xml:space="preserve">조립 라인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전공정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</si>
  <si>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착자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밸런싱 완료품</t>
    </r>
  </si>
  <si>
    <t xml:space="preserve">HA-3000</t>
  </si>
  <si>
    <t xml:space="preserve">Housing Assy</t>
  </si>
  <si>
    <t xml:space="preserve">조립 라인</t>
  </si>
  <si>
    <r>
      <rPr>
        <sz val="10"/>
        <rFont val="Noto Sans CJK SC"/>
        <family val="2"/>
      </rPr>
      <t xml:space="preserve">하우징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베어링플레이트</t>
    </r>
  </si>
  <si>
    <t xml:space="preserve">PE-6000</t>
  </si>
  <si>
    <t xml:space="preserve">Power Electronics Assy</t>
  </si>
  <si>
    <r>
      <rPr>
        <sz val="10"/>
        <rFont val="Noto Sans CJK SC"/>
        <family val="2"/>
      </rPr>
      <t xml:space="preserve">인버터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제어 </t>
    </r>
    <r>
      <rPr>
        <sz val="10"/>
        <rFont val="Malgun Gothic"/>
        <family val="0"/>
        <charset val="1"/>
      </rPr>
      <t xml:space="preserve">PCB</t>
    </r>
  </si>
  <si>
    <t xml:space="preserve">FS-7010</t>
  </si>
  <si>
    <t xml:space="preserve">Main Flange Shaft No.1</t>
  </si>
  <si>
    <r>
      <rPr>
        <sz val="10"/>
        <rFont val="Noto Sans CJK SC"/>
        <family val="2"/>
      </rPr>
      <t xml:space="preserve">조립 라인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동력전달부</t>
    </r>
    <r>
      <rPr>
        <sz val="10"/>
        <rFont val="Malgun Gothic"/>
        <family val="0"/>
        <charset val="1"/>
      </rPr>
      <t xml:space="preserve">)</t>
    </r>
  </si>
  <si>
    <t xml:space="preserve">메인 출력축</t>
  </si>
  <si>
    <t xml:space="preserve">FS-7020</t>
  </si>
  <si>
    <t xml:space="preserve">Flange Shaft No.2 Assy</t>
  </si>
  <si>
    <t xml:space="preserve">하부 지지축</t>
  </si>
  <si>
    <t xml:space="preserve">GB-8000</t>
  </si>
  <si>
    <t xml:space="preserve">Gearbox Assy</t>
  </si>
  <si>
    <r>
      <rPr>
        <sz val="10"/>
        <rFont val="Noto Sans CJK SC"/>
        <family val="2"/>
      </rPr>
      <t xml:space="preserve">조립 라인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감속부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</si>
  <si>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스퍼기어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단</t>
    </r>
  </si>
  <si>
    <t xml:space="preserve">PL-9000</t>
  </si>
  <si>
    <t xml:space="preserve">Parking Lock Assy</t>
  </si>
  <si>
    <r>
      <rPr>
        <sz val="10"/>
        <rFont val="Noto Sans CJK SC"/>
        <family val="2"/>
      </rPr>
      <t xml:space="preserve">조립 라인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안전장치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</si>
  <si>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래칫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파울</t>
    </r>
  </si>
  <si>
    <t xml:space="preserve">EX-5000</t>
  </si>
  <si>
    <t xml:space="preserve">External Parts Set</t>
  </si>
  <si>
    <t xml:space="preserve">SET</t>
  </si>
  <si>
    <r>
      <rPr>
        <sz val="10"/>
        <rFont val="Noto Sans CJK SC"/>
        <family val="2"/>
      </rPr>
      <t xml:space="preserve">네임플레이트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오링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글랜드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</si>
  <si>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Malgun Gothic"/>
        <family val="0"/>
        <charset val="1"/>
      </rPr>
      <t xml:space="preserve">(Sub-Assy </t>
    </r>
    <r>
      <rPr>
        <b val="true"/>
        <sz val="10"/>
        <rFont val="Noto Sans CJK SC"/>
        <family val="2"/>
      </rPr>
      <t xml:space="preserve">수량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</si>
  <si>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Malgun Gothic"/>
        <family val="0"/>
        <charset val="1"/>
      </rPr>
      <t xml:space="preserve">Level 2/3 — Stator Assy (SA-1000) </t>
    </r>
    <r>
      <rPr>
        <b val="true"/>
        <sz val="14"/>
        <color rgb="FFFFFFFF"/>
        <rFont val="Noto Sans CJK SC"/>
        <family val="2"/>
      </rPr>
      <t xml:space="preserve">상세 </t>
    </r>
    <r>
      <rPr>
        <b val="true"/>
        <sz val="14"/>
        <color rgb="FFFFFFFF"/>
        <rFont val="Malgun Gothic"/>
        <family val="0"/>
        <charset val="1"/>
      </rPr>
      <t xml:space="preserve">BOM</t>
    </r>
  </si>
  <si>
    <r>
      <rPr>
        <b val="true"/>
        <sz val="10"/>
        <rFont val="Noto Sans CJK SC"/>
        <family val="2"/>
      </rPr>
      <t xml:space="preserve">상위 </t>
    </r>
    <r>
      <rPr>
        <b val="true"/>
        <sz val="10"/>
        <rFont val="Malgun Gothic"/>
        <family val="0"/>
        <charset val="1"/>
      </rPr>
      <t xml:space="preserve">P/N:</t>
    </r>
  </si>
  <si>
    <r>
      <rPr>
        <b val="true"/>
        <sz val="10"/>
        <rFont val="Noto Sans CJK SC"/>
        <family val="2"/>
      </rPr>
      <t xml:space="preserve">완성품당 소요량 </t>
    </r>
    <r>
      <rPr>
        <b val="true"/>
        <sz val="10"/>
        <rFont val="Malgun Gothic"/>
        <family val="0"/>
        <charset val="1"/>
      </rPr>
      <t xml:space="preserve">(SET):</t>
    </r>
  </si>
  <si>
    <t xml:space="preserve">Level</t>
  </si>
  <si>
    <r>
      <rPr>
        <b val="true"/>
        <sz val="11"/>
        <color rgb="FFFFFFFF"/>
        <rFont val="Noto Sans CJK SC"/>
        <family val="2"/>
      </rPr>
      <t xml:space="preserve">규격</t>
    </r>
    <r>
      <rPr>
        <b val="true"/>
        <sz val="11"/>
        <color rgb="FFFFFFFF"/>
        <rFont val="Malgun Gothic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재질</t>
    </r>
  </si>
  <si>
    <r>
      <rPr>
        <b val="true"/>
        <sz val="11"/>
        <color rgb="FFFFFFFF"/>
        <rFont val="Malgun Gothic"/>
        <family val="0"/>
        <charset val="1"/>
      </rPr>
      <t xml:space="preserve">Qty/</t>
    </r>
    <r>
      <rPr>
        <b val="true"/>
        <sz val="11"/>
        <color rgb="FFFFFFFF"/>
        <rFont val="Noto Sans CJK SC"/>
        <family val="2"/>
      </rPr>
      <t xml:space="preserve">상위</t>
    </r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</si>
  <si>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Malgun Gothic"/>
        <family val="0"/>
        <charset val="1"/>
      </rPr>
      <t xml:space="preserve">(₩, </t>
    </r>
    <r>
      <rPr>
        <b val="true"/>
        <sz val="11"/>
        <color rgb="FFFFFFFF"/>
        <rFont val="Noto Sans CJK SC"/>
        <family val="2"/>
      </rPr>
      <t xml:space="preserve">참조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</si>
  <si>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소요합계</t>
  </si>
  <si>
    <t xml:space="preserve">L2</t>
  </si>
  <si>
    <t xml:space="preserve">SC-1010</t>
  </si>
  <si>
    <r>
      <rPr>
        <sz val="10"/>
        <rFont val="Malgun Gothic"/>
        <family val="0"/>
        <charset val="1"/>
      </rPr>
      <t xml:space="preserve">Stator Core (</t>
    </r>
    <r>
      <rPr>
        <sz val="10"/>
        <rFont val="Noto Sans CJK SC"/>
        <family val="2"/>
      </rPr>
      <t xml:space="preserve">적층완료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</si>
  <si>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규소강판 </t>
    </r>
    <r>
      <rPr>
        <sz val="10"/>
        <rFont val="Malgun Gothic"/>
        <family val="0"/>
        <charset val="1"/>
      </rPr>
      <t xml:space="preserve">50W470 0.5t / H40</t>
    </r>
  </si>
  <si>
    <t xml:space="preserve">L3</t>
  </si>
  <si>
    <t xml:space="preserve">SC-1011</t>
  </si>
  <si>
    <t xml:space="preserve">규소강판 원소재</t>
  </si>
  <si>
    <r>
      <rPr>
        <sz val="10"/>
        <rFont val="Malgun Gothic"/>
        <family val="0"/>
        <charset val="1"/>
      </rPr>
      <t xml:space="preserve">POSCO 50W470 </t>
    </r>
    <r>
      <rPr>
        <sz val="10"/>
        <rFont val="Noto Sans CJK SC"/>
        <family val="2"/>
      </rPr>
      <t xml:space="preserve">코일</t>
    </r>
  </si>
  <si>
    <t xml:space="preserve">kg</t>
  </si>
  <si>
    <t xml:space="preserve">IN-1020U</t>
  </si>
  <si>
    <t xml:space="preserve">Insulator (Upper)</t>
  </si>
  <si>
    <t xml:space="preserve">PBT+GF30, Black</t>
  </si>
  <si>
    <t xml:space="preserve">IN-1020L</t>
  </si>
  <si>
    <t xml:space="preserve">Insulator (Lower)</t>
  </si>
  <si>
    <t xml:space="preserve">MW-1030</t>
  </si>
  <si>
    <t xml:space="preserve">Magnet Wire</t>
  </si>
  <si>
    <r>
      <rPr>
        <sz val="10"/>
        <rFont val="Noto Sans CJK SC"/>
        <family val="2"/>
      </rPr>
      <t xml:space="preserve">에나멜 동선 </t>
    </r>
    <r>
      <rPr>
        <sz val="10"/>
        <rFont val="Malgun Gothic"/>
        <family val="0"/>
        <charset val="1"/>
      </rPr>
      <t xml:space="preserve">φ0.80 Class H</t>
    </r>
  </si>
  <si>
    <t xml:space="preserve">g</t>
  </si>
  <si>
    <t xml:space="preserve">IP-1040</t>
  </si>
  <si>
    <t xml:space="preserve">Insulation Paper</t>
  </si>
  <si>
    <t xml:space="preserve">Nomex 410, 0.2t</t>
  </si>
  <si>
    <t xml:space="preserve">매</t>
  </si>
  <si>
    <t xml:space="preserve">LW-1050</t>
  </si>
  <si>
    <t xml:space="preserve">Lead Wire</t>
  </si>
  <si>
    <t xml:space="preserve">UL1015 AWG18 L=300 R/B/Y</t>
  </si>
  <si>
    <t xml:space="preserve">TM-1060</t>
  </si>
  <si>
    <t xml:space="preserve">Terminal Lug</t>
  </si>
  <si>
    <r>
      <rPr>
        <sz val="10"/>
        <rFont val="Noto Sans CJK SC"/>
        <family val="2"/>
      </rPr>
      <t xml:space="preserve">압착형 </t>
    </r>
    <r>
      <rPr>
        <sz val="10"/>
        <rFont val="Malgun Gothic"/>
        <family val="0"/>
        <charset val="1"/>
      </rPr>
      <t xml:space="preserve">φ3.2</t>
    </r>
  </si>
  <si>
    <t xml:space="preserve">IV-1070</t>
  </si>
  <si>
    <t xml:space="preserve">Impregnation Varnish</t>
  </si>
  <si>
    <t xml:space="preserve">무용제 에폭시계</t>
  </si>
  <si>
    <t xml:space="preserve">LC-1080</t>
  </si>
  <si>
    <t xml:space="preserve">Lacing Cord</t>
  </si>
  <si>
    <r>
      <rPr>
        <sz val="10"/>
        <rFont val="Noto Sans CJK SC"/>
        <family val="2"/>
      </rPr>
      <t xml:space="preserve">폴리에스터 </t>
    </r>
    <r>
      <rPr>
        <sz val="10"/>
        <rFont val="Malgun Gothic"/>
        <family val="0"/>
        <charset val="1"/>
      </rPr>
      <t xml:space="preserve">φ0.5</t>
    </r>
  </si>
  <si>
    <t xml:space="preserve">m</t>
  </si>
  <si>
    <r>
      <rPr>
        <b val="true"/>
        <sz val="10"/>
        <rFont val="Noto Sans CJK SC"/>
        <family val="2"/>
      </rPr>
      <t xml:space="preserve">원가 합계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참조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</si>
  <si>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Malgun Gothic"/>
        <family val="0"/>
        <charset val="1"/>
      </rPr>
      <t xml:space="preserve">Level 2/3 — Rotor Assy (RA-2000) </t>
    </r>
    <r>
      <rPr>
        <b val="true"/>
        <sz val="14"/>
        <color rgb="FFFFFFFF"/>
        <rFont val="Noto Sans CJK SC"/>
        <family val="2"/>
      </rPr>
      <t xml:space="preserve">상세 </t>
    </r>
    <r>
      <rPr>
        <b val="true"/>
        <sz val="14"/>
        <color rgb="FFFFFFFF"/>
        <rFont val="Malgun Gothic"/>
        <family val="0"/>
        <charset val="1"/>
      </rPr>
      <t xml:space="preserve">BOM</t>
    </r>
  </si>
  <si>
    <t xml:space="preserve">SH-2010</t>
  </si>
  <si>
    <t xml:space="preserve">Shaft</t>
  </si>
  <si>
    <t xml:space="preserve">SCM440 QT φ8×L120 HRC55</t>
  </si>
  <si>
    <t xml:space="preserve">RC-2020</t>
  </si>
  <si>
    <t xml:space="preserve">Rotor Core</t>
  </si>
  <si>
    <r>
      <rPr>
        <sz val="10"/>
        <rFont val="Noto Sans CJK SC"/>
        <family val="2"/>
      </rPr>
      <t xml:space="preserve">규소강판 적층 </t>
    </r>
    <r>
      <rPr>
        <sz val="10"/>
        <rFont val="Malgun Gothic"/>
        <family val="0"/>
        <charset val="1"/>
      </rPr>
      <t xml:space="preserve">φ25</t>
    </r>
  </si>
  <si>
    <t xml:space="preserve">PM-2030</t>
  </si>
  <si>
    <t xml:space="preserve">Permanent Magnet</t>
  </si>
  <si>
    <t xml:space="preserve">NdFeB N42SH Arc</t>
  </si>
  <si>
    <t xml:space="preserve">AD-2040</t>
  </si>
  <si>
    <t xml:space="preserve">Adhesive</t>
  </si>
  <si>
    <r>
      <rPr>
        <sz val="10"/>
        <rFont val="Noto Sans CJK SC"/>
        <family val="2"/>
      </rPr>
      <t xml:space="preserve">락타이트 </t>
    </r>
    <r>
      <rPr>
        <sz val="10"/>
        <rFont val="Malgun Gothic"/>
        <family val="0"/>
        <charset val="1"/>
      </rPr>
      <t xml:space="preserve">638</t>
    </r>
  </si>
  <si>
    <t xml:space="preserve">BW-2050</t>
  </si>
  <si>
    <t xml:space="preserve">Balancing Weight</t>
  </si>
  <si>
    <r>
      <rPr>
        <sz val="10"/>
        <rFont val="Malgun Gothic"/>
        <family val="0"/>
        <charset val="1"/>
      </rPr>
      <t xml:space="preserve">Fe</t>
    </r>
    <r>
      <rPr>
        <sz val="10"/>
        <rFont val="Noto Sans CJK SC"/>
        <family val="2"/>
      </rPr>
      <t xml:space="preserve">계 접착 웨이트</t>
    </r>
  </si>
  <si>
    <r>
      <rPr>
        <b val="true"/>
        <sz val="14"/>
        <color rgb="FFFFFFFF"/>
        <rFont val="Malgun Gothic"/>
        <family val="0"/>
        <charset val="1"/>
      </rPr>
      <t xml:space="preserve">Level 2/3 — Housing &amp; External (HA-3000/EX-5000) </t>
    </r>
    <r>
      <rPr>
        <b val="true"/>
        <sz val="14"/>
        <color rgb="FFFFFFFF"/>
        <rFont val="Noto Sans CJK SC"/>
        <family val="2"/>
      </rPr>
      <t xml:space="preserve">상세 </t>
    </r>
    <r>
      <rPr>
        <b val="true"/>
        <sz val="14"/>
        <color rgb="FFFFFFFF"/>
        <rFont val="Malgun Gothic"/>
        <family val="0"/>
        <charset val="1"/>
      </rPr>
      <t xml:space="preserve">BOM</t>
    </r>
  </si>
  <si>
    <t xml:space="preserve">HS-3010</t>
  </si>
  <si>
    <t xml:space="preserve">Housing Frame</t>
  </si>
  <si>
    <r>
      <rPr>
        <sz val="10"/>
        <rFont val="Malgun Gothic"/>
        <family val="0"/>
        <charset val="1"/>
      </rPr>
      <t xml:space="preserve">AL6061-T6, </t>
    </r>
    <r>
      <rPr>
        <sz val="10"/>
        <rFont val="Noto Sans CJK SC"/>
        <family val="2"/>
      </rPr>
      <t xml:space="preserve">흑색 아노다이징</t>
    </r>
  </si>
  <si>
    <t xml:space="preserve">BP-3020F</t>
  </si>
  <si>
    <t xml:space="preserve">Bearing Plate (Front)</t>
  </si>
  <si>
    <r>
      <rPr>
        <sz val="10"/>
        <rFont val="Malgun Gothic"/>
        <family val="0"/>
        <charset val="1"/>
      </rPr>
      <t xml:space="preserve">AL6061 </t>
    </r>
    <r>
      <rPr>
        <sz val="10"/>
        <rFont val="Noto Sans CJK SC"/>
        <family val="2"/>
      </rPr>
      <t xml:space="preserve">다이캐스트</t>
    </r>
  </si>
  <si>
    <t xml:space="preserve">BP-3020R</t>
  </si>
  <si>
    <t xml:space="preserve">Bearing Plate (Rear)</t>
  </si>
  <si>
    <t xml:space="preserve">BF-3040</t>
  </si>
  <si>
    <t xml:space="preserve">Bearing (Front)</t>
  </si>
  <si>
    <t xml:space="preserve">6002ZZ C3</t>
  </si>
  <si>
    <t xml:space="preserve">BR-3050</t>
  </si>
  <si>
    <t xml:space="preserve">Bearing (Rear)</t>
  </si>
  <si>
    <t xml:space="preserve">6001ZZ C3</t>
  </si>
  <si>
    <t xml:space="preserve">WW-3060</t>
  </si>
  <si>
    <t xml:space="preserve">Wave Washer</t>
  </si>
  <si>
    <t xml:space="preserve">SUS304 φ12</t>
  </si>
  <si>
    <t xml:space="preserve">BT-3070</t>
  </si>
  <si>
    <t xml:space="preserve">Bolt</t>
  </si>
  <si>
    <t xml:space="preserve">M4×20 SUS304</t>
  </si>
  <si>
    <t xml:space="preserve">NP-5010</t>
  </si>
  <si>
    <t xml:space="preserve">Name Plate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</si>
  <si>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에칭 라벨</t>
    </r>
  </si>
  <si>
    <t xml:space="preserve">OR-5020</t>
  </si>
  <si>
    <t xml:space="preserve">O-Ring</t>
  </si>
  <si>
    <t xml:space="preserve">NBR P24</t>
  </si>
  <si>
    <t xml:space="preserve">CG-5030</t>
  </si>
  <si>
    <t xml:space="preserve">Cable Gland</t>
  </si>
  <si>
    <t xml:space="preserve">PG9 IP65</t>
  </si>
  <si>
    <r>
      <rPr>
        <b val="true"/>
        <sz val="14"/>
        <color rgb="FFFFFFFF"/>
        <rFont val="Malgun Gothic"/>
        <family val="0"/>
        <charset val="1"/>
      </rPr>
      <t xml:space="preserve">Level 2/3 — Power Electronics (PE-6000) </t>
    </r>
    <r>
      <rPr>
        <b val="true"/>
        <sz val="14"/>
        <color rgb="FFFFFFFF"/>
        <rFont val="Noto Sans CJK SC"/>
        <family val="2"/>
      </rPr>
      <t xml:space="preserve">상세 </t>
    </r>
    <r>
      <rPr>
        <b val="true"/>
        <sz val="14"/>
        <color rgb="FFFFFFFF"/>
        <rFont val="Malgun Gothic"/>
        <family val="0"/>
        <charset val="1"/>
      </rPr>
      <t xml:space="preserve">BOM</t>
    </r>
  </si>
  <si>
    <t xml:space="preserve">PC-4010</t>
  </si>
  <si>
    <t xml:space="preserve">Main PCB</t>
  </si>
  <si>
    <t xml:space="preserve">FR-4 4Layer 100×80</t>
  </si>
  <si>
    <t xml:space="preserve">PC-4011</t>
  </si>
  <si>
    <t xml:space="preserve">Hall Sensor PCB</t>
  </si>
  <si>
    <t xml:space="preserve">FR-4 2Layer φ35</t>
  </si>
  <si>
    <t xml:space="preserve">HS-4020</t>
  </si>
  <si>
    <t xml:space="preserve">Hall Sensor</t>
  </si>
  <si>
    <t xml:space="preserve">SS41F</t>
  </si>
  <si>
    <t xml:space="preserve">MO-4030</t>
  </si>
  <si>
    <t xml:space="preserve">Power MOSFET</t>
  </si>
  <si>
    <t xml:space="preserve">N-ch 100V/60A</t>
  </si>
  <si>
    <t xml:space="preserve">GD-4040</t>
  </si>
  <si>
    <t xml:space="preserve">Gate Driver IC</t>
  </si>
  <si>
    <t xml:space="preserve">Half-Bridge Driver</t>
  </si>
  <si>
    <t xml:space="preserve">CP-4050</t>
  </si>
  <si>
    <t xml:space="preserve">Electrolytic Capacitor</t>
  </si>
  <si>
    <t xml:space="preserve">63V 470uF</t>
  </si>
  <si>
    <t xml:space="preserve">HK-4060</t>
  </si>
  <si>
    <t xml:space="preserve">Heatsink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</si>
  <si>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방열핀 </t>
    </r>
    <r>
      <rPr>
        <sz val="10"/>
        <rFont val="Malgun Gothic"/>
        <family val="0"/>
        <charset val="1"/>
      </rPr>
      <t xml:space="preserve">60×40</t>
    </r>
  </si>
  <si>
    <t xml:space="preserve">BB-4070</t>
  </si>
  <si>
    <t xml:space="preserve">Bus Bar</t>
  </si>
  <si>
    <r>
      <rPr>
        <sz val="10"/>
        <rFont val="Noto Sans CJK SC"/>
        <family val="2"/>
      </rPr>
      <t xml:space="preserve">동 </t>
    </r>
    <r>
      <rPr>
        <sz val="10"/>
        <rFont val="Malgun Gothic"/>
        <family val="0"/>
        <charset val="1"/>
      </rPr>
      <t xml:space="preserve">3.0t U/V/W</t>
    </r>
  </si>
  <si>
    <t xml:space="preserve">CN-4030</t>
  </si>
  <si>
    <t xml:space="preserve">Signal Connector</t>
  </si>
  <si>
    <t xml:space="preserve">JST XH 5Pin</t>
  </si>
  <si>
    <t xml:space="preserve">SP-4040</t>
  </si>
  <si>
    <t xml:space="preserve">Solder Paste</t>
  </si>
  <si>
    <t xml:space="preserve">Sn96.5/Ag3.0/Cu0.5</t>
  </si>
  <si>
    <r>
      <rPr>
        <b val="true"/>
        <sz val="14"/>
        <color rgb="FFFFFFFF"/>
        <rFont val="Malgun Gothic"/>
        <family val="0"/>
        <charset val="1"/>
      </rPr>
      <t xml:space="preserve">Level 2/3 — Drive Train (Shaft/Gearbox/Parking Lock) </t>
    </r>
    <r>
      <rPr>
        <b val="true"/>
        <sz val="14"/>
        <color rgb="FFFFFFFF"/>
        <rFont val="Noto Sans CJK SC"/>
        <family val="2"/>
      </rPr>
      <t xml:space="preserve">상세 </t>
    </r>
    <r>
      <rPr>
        <b val="true"/>
        <sz val="14"/>
        <color rgb="FFFFFFFF"/>
        <rFont val="Malgun Gothic"/>
        <family val="0"/>
        <charset val="1"/>
      </rPr>
      <t xml:space="preserve">BOM</t>
    </r>
  </si>
  <si>
    <t xml:space="preserve">FS-7010 / FS-7020 / GB-8000 / PL-9000</t>
  </si>
  <si>
    <r>
      <rPr>
        <sz val="10"/>
        <rFont val="Malgun Gothic"/>
        <family val="0"/>
        <charset val="1"/>
      </rPr>
      <t xml:space="preserve">SCM440 QT </t>
    </r>
    <r>
      <rPr>
        <sz val="10"/>
        <rFont val="Noto Sans CJK SC"/>
        <family val="2"/>
      </rPr>
      <t xml:space="preserve">다단 </t>
    </r>
    <r>
      <rPr>
        <sz val="10"/>
        <rFont val="Malgun Gothic"/>
        <family val="0"/>
        <charset val="1"/>
      </rPr>
      <t xml:space="preserve">φ8/10/12</t>
    </r>
  </si>
  <si>
    <t xml:space="preserve">Flange Shaft No.2 (Base)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</si>
  <si>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다이캐스트 핑크</t>
    </r>
  </si>
  <si>
    <t xml:space="preserve">FS-7021</t>
  </si>
  <si>
    <t xml:space="preserve">Flange Shaft No.2 (Top Bushing)</t>
  </si>
  <si>
    <t xml:space="preserve">황동 부싱</t>
  </si>
  <si>
    <t xml:space="preserve">FS-7022</t>
  </si>
  <si>
    <t xml:space="preserve">Internal Shaft</t>
  </si>
  <si>
    <r>
      <rPr>
        <sz val="10"/>
        <rFont val="Malgun Gothic"/>
        <family val="0"/>
        <charset val="1"/>
      </rPr>
      <t xml:space="preserve">SCM415 </t>
    </r>
    <r>
      <rPr>
        <sz val="10"/>
        <rFont val="Noto Sans CJK SC"/>
        <family val="2"/>
      </rPr>
      <t xml:space="preserve">침탄</t>
    </r>
  </si>
  <si>
    <t xml:space="preserve">OR-7025</t>
  </si>
  <si>
    <t xml:space="preserve">O-Ring (Shaft Seal)</t>
  </si>
  <si>
    <t xml:space="preserve">NBR</t>
  </si>
  <si>
    <t xml:space="preserve">GB-8010</t>
  </si>
  <si>
    <t xml:space="preserve">Gearbox Housing</t>
  </si>
  <si>
    <t xml:space="preserve">GB-8020</t>
  </si>
  <si>
    <t xml:space="preserve">Input Spur Gear</t>
  </si>
  <si>
    <r>
      <rPr>
        <sz val="10"/>
        <rFont val="Malgun Gothic"/>
        <family val="0"/>
        <charset val="1"/>
      </rPr>
      <t xml:space="preserve">SCM415 </t>
    </r>
    <r>
      <rPr>
        <sz val="10"/>
        <rFont val="Noto Sans CJK SC"/>
        <family val="2"/>
      </rPr>
      <t xml:space="preserve">침탄 </t>
    </r>
    <r>
      <rPr>
        <sz val="10"/>
        <rFont val="Malgun Gothic"/>
        <family val="0"/>
        <charset val="1"/>
      </rPr>
      <t xml:space="preserve">HRC60 Z=18</t>
    </r>
  </si>
  <si>
    <t xml:space="preserve">GB-8030</t>
  </si>
  <si>
    <t xml:space="preserve">Output Spur Gear</t>
  </si>
  <si>
    <r>
      <rPr>
        <sz val="10"/>
        <rFont val="Malgun Gothic"/>
        <family val="0"/>
        <charset val="1"/>
      </rPr>
      <t xml:space="preserve">SCM415 </t>
    </r>
    <r>
      <rPr>
        <sz val="10"/>
        <rFont val="Noto Sans CJK SC"/>
        <family val="2"/>
      </rPr>
      <t xml:space="preserve">침탄 </t>
    </r>
    <r>
      <rPr>
        <sz val="10"/>
        <rFont val="Malgun Gothic"/>
        <family val="0"/>
        <charset val="1"/>
      </rPr>
      <t xml:space="preserve">HRC60 Z=90</t>
    </r>
  </si>
  <si>
    <t xml:space="preserve">GB-8040</t>
  </si>
  <si>
    <t xml:space="preserve">Gearbox Bearing</t>
  </si>
  <si>
    <t xml:space="preserve">6003ZZ</t>
  </si>
  <si>
    <t xml:space="preserve">GB-8050</t>
  </si>
  <si>
    <t xml:space="preserve">Gear Oil / Grease</t>
  </si>
  <si>
    <t xml:space="preserve">리튬계</t>
  </si>
  <si>
    <t xml:space="preserve">PL-9010</t>
  </si>
  <si>
    <t xml:space="preserve">Parking Gear Ring</t>
  </si>
  <si>
    <r>
      <rPr>
        <sz val="10"/>
        <rFont val="Malgun Gothic"/>
        <family val="0"/>
        <charset val="1"/>
      </rPr>
      <t xml:space="preserve">SCM440 </t>
    </r>
    <r>
      <rPr>
        <sz val="10"/>
        <rFont val="Noto Sans CJK SC"/>
        <family val="2"/>
      </rPr>
      <t xml:space="preserve">침탄 외치 래칫</t>
    </r>
  </si>
  <si>
    <t xml:space="preserve">PL-9020</t>
  </si>
  <si>
    <t xml:space="preserve">Parking Pawl</t>
  </si>
  <si>
    <r>
      <rPr>
        <sz val="10"/>
        <rFont val="Malgun Gothic"/>
        <family val="0"/>
        <charset val="1"/>
      </rPr>
      <t xml:space="preserve">SCM435 </t>
    </r>
    <r>
      <rPr>
        <sz val="10"/>
        <rFont val="Noto Sans CJK SC"/>
        <family val="2"/>
      </rPr>
      <t xml:space="preserve">흑색 열처리</t>
    </r>
  </si>
  <si>
    <t xml:space="preserve">PL-9030</t>
  </si>
  <si>
    <t xml:space="preserve">Return Spring</t>
  </si>
  <si>
    <r>
      <rPr>
        <sz val="10"/>
        <rFont val="Malgun Gothic"/>
        <family val="0"/>
        <charset val="1"/>
      </rPr>
      <t xml:space="preserve">SUS304 </t>
    </r>
    <r>
      <rPr>
        <sz val="10"/>
        <rFont val="Noto Sans CJK SC"/>
        <family val="2"/>
      </rPr>
      <t xml:space="preserve">압축스프링</t>
    </r>
  </si>
  <si>
    <t xml:space="preserve">PL-9040</t>
  </si>
  <si>
    <t xml:space="preserve">Actuator Rod</t>
  </si>
  <si>
    <t xml:space="preserve">솔레노이드 구동봉</t>
  </si>
  <si>
    <r>
      <rPr>
        <b val="true"/>
        <sz val="14"/>
        <color rgb="FFFFFFFF"/>
        <rFont val="Noto Sans CJK SC"/>
        <family val="2"/>
      </rPr>
      <t xml:space="preserve">단품 전개 통합 </t>
    </r>
    <r>
      <rPr>
        <b val="true"/>
        <sz val="14"/>
        <color rgb="FFFFFFFF"/>
        <rFont val="Malgun Gothic"/>
        <family val="0"/>
        <charset val="1"/>
      </rPr>
      <t xml:space="preserve">BOM — Where-Used · </t>
    </r>
    <r>
      <rPr>
        <b val="true"/>
        <sz val="14"/>
        <color rgb="FFFFFFFF"/>
        <rFont val="Noto Sans CJK SC"/>
        <family val="2"/>
      </rPr>
      <t xml:space="preserve">소요량 계수 </t>
    </r>
    <r>
      <rPr>
        <b val="true"/>
        <sz val="14"/>
        <color rgb="FFFFFFFF"/>
        <rFont val="Malgun Gothic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완성품당 총 소요량</t>
    </r>
  </si>
  <si>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Malgun Gothic"/>
        <family val="0"/>
        <charset val="1"/>
      </rPr>
      <t xml:space="preserve">SubAssy</t>
    </r>
  </si>
  <si>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Malgun Gothic"/>
        <family val="0"/>
        <charset val="1"/>
      </rPr>
      <t xml:space="preserve">P/N</t>
    </r>
  </si>
  <si>
    <r>
      <rPr>
        <b val="true"/>
        <sz val="11"/>
        <color rgb="FFFFFFFF"/>
        <rFont val="Noto Sans CJK SC"/>
        <family val="2"/>
      </rPr>
      <t xml:space="preserve">단품 </t>
    </r>
    <r>
      <rPr>
        <b val="true"/>
        <sz val="11"/>
        <color rgb="FFFFFFFF"/>
        <rFont val="Malgun Gothic"/>
        <family val="0"/>
        <charset val="1"/>
      </rPr>
      <t xml:space="preserve">P/N</t>
    </r>
  </si>
  <si>
    <t xml:space="preserve">단품명</t>
  </si>
  <si>
    <r>
      <rPr>
        <b val="true"/>
        <sz val="11"/>
        <color rgb="FFFFFFFF"/>
        <rFont val="Malgun Gothic"/>
        <family val="0"/>
        <charset val="1"/>
      </rPr>
      <t xml:space="preserve">Qty/</t>
    </r>
    <r>
      <rPr>
        <b val="true"/>
        <sz val="11"/>
        <color rgb="FFFFFFFF"/>
        <rFont val="Noto Sans CJK SC"/>
        <family val="2"/>
      </rPr>
      <t xml:space="preserve">상위</t>
    </r>
    <r>
      <rPr>
        <b val="true"/>
        <sz val="11"/>
        <color rgb="FFFFFFFF"/>
        <rFont val="Malgun Gothic"/>
        <family val="0"/>
        <charset val="1"/>
      </rPr>
      <t xml:space="preserve">(a)</t>
    </r>
  </si>
  <si>
    <r>
      <rPr>
        <b val="true"/>
        <sz val="11"/>
        <color rgb="FFFFFFFF"/>
        <rFont val="Malgun Gothic"/>
        <family val="0"/>
        <charset val="1"/>
      </rPr>
      <t xml:space="preserve">SubAssy/</t>
    </r>
    <r>
      <rPr>
        <b val="true"/>
        <sz val="11"/>
        <color rgb="FFFFFFFF"/>
        <rFont val="Noto Sans CJK SC"/>
        <family val="2"/>
      </rPr>
      <t xml:space="preserve">완성품</t>
    </r>
    <r>
      <rPr>
        <b val="true"/>
        <sz val="11"/>
        <color rgb="FFFFFFFF"/>
        <rFont val="Malgun Gothic"/>
        <family val="0"/>
        <charset val="1"/>
      </rPr>
      <t xml:space="preserve">(b)</t>
    </r>
  </si>
  <si>
    <r>
      <rPr>
        <b val="true"/>
        <sz val="11"/>
        <color rgb="FFFFFFFF"/>
        <rFont val="Noto Sans CJK SC"/>
        <family val="2"/>
      </rPr>
      <t xml:space="preserve">완성품당 총소요</t>
    </r>
    <r>
      <rPr>
        <b val="true"/>
        <sz val="11"/>
        <color rgb="FFFFFFFF"/>
        <rFont val="Malgun Gothic"/>
        <family val="0"/>
        <charset val="1"/>
      </rPr>
      <t xml:space="preserve">(a×b)</t>
    </r>
  </si>
  <si>
    <t xml:space="preserve">Stator Assy</t>
  </si>
  <si>
    <t xml:space="preserve">Stator Core</t>
  </si>
  <si>
    <r>
      <rPr>
        <sz val="10"/>
        <rFont val="Noto Sans CJK SC"/>
        <family val="2"/>
      </rPr>
      <t xml:space="preserve">규소강판 </t>
    </r>
    <r>
      <rPr>
        <sz val="10"/>
        <rFont val="Malgun Gothic"/>
        <family val="0"/>
        <charset val="1"/>
      </rPr>
      <t xml:space="preserve">50W470</t>
    </r>
  </si>
  <si>
    <t xml:space="preserve">POSCO 50W470</t>
  </si>
  <si>
    <t xml:space="preserve">Insulator Upper</t>
  </si>
  <si>
    <t xml:space="preserve">PBT+GF30</t>
  </si>
  <si>
    <t xml:space="preserve">Insulator Lower</t>
  </si>
  <si>
    <r>
      <rPr>
        <sz val="10"/>
        <rFont val="Noto Sans CJK SC"/>
        <family val="2"/>
      </rPr>
      <t xml:space="preserve">동선 </t>
    </r>
    <r>
      <rPr>
        <sz val="10"/>
        <rFont val="Malgun Gothic"/>
        <family val="0"/>
        <charset val="1"/>
      </rPr>
      <t xml:space="preserve">φ0.80</t>
    </r>
  </si>
  <si>
    <t xml:space="preserve">Nomex 410</t>
  </si>
  <si>
    <t xml:space="preserve">AWG18 L300</t>
  </si>
  <si>
    <t xml:space="preserve">φ3.2</t>
  </si>
  <si>
    <t xml:space="preserve">에폭시</t>
  </si>
  <si>
    <t xml:space="preserve">폴리에스터</t>
  </si>
  <si>
    <t xml:space="preserve">SCM440 QT</t>
  </si>
  <si>
    <t xml:space="preserve">규소강판 적층</t>
  </si>
  <si>
    <t xml:space="preserve">NdFeB N42SH</t>
  </si>
  <si>
    <r>
      <rPr>
        <sz val="10"/>
        <rFont val="Malgun Gothic"/>
        <family val="0"/>
        <charset val="1"/>
      </rPr>
      <t xml:space="preserve">Fe</t>
    </r>
    <r>
      <rPr>
        <sz val="10"/>
        <rFont val="Noto Sans CJK SC"/>
        <family val="2"/>
      </rPr>
      <t xml:space="preserve">계</t>
    </r>
  </si>
  <si>
    <t xml:space="preserve">Housing/External</t>
  </si>
  <si>
    <t xml:space="preserve">HA-3000/EX-5000</t>
  </si>
  <si>
    <t xml:space="preserve">AL6061-T6</t>
  </si>
  <si>
    <t xml:space="preserve">Bearing Plate Front</t>
  </si>
  <si>
    <t xml:space="preserve">AL6061</t>
  </si>
  <si>
    <t xml:space="preserve">Bearing Plate Rear</t>
  </si>
  <si>
    <t xml:space="preserve">Bearing Front</t>
  </si>
  <si>
    <t xml:space="preserve">6002ZZ</t>
  </si>
  <si>
    <t xml:space="preserve">Bearing Rear</t>
  </si>
  <si>
    <t xml:space="preserve">6001ZZ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</si>
  <si>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에칭</t>
    </r>
  </si>
  <si>
    <t xml:space="preserve">PG9</t>
  </si>
  <si>
    <t xml:space="preserve">Power Electronics</t>
  </si>
  <si>
    <t xml:space="preserve">FR-4 4L</t>
  </si>
  <si>
    <t xml:space="preserve">Hall PCB</t>
  </si>
  <si>
    <t xml:space="preserve">FR-4 2L</t>
  </si>
  <si>
    <t xml:space="preserve">100V/60A</t>
  </si>
  <si>
    <t xml:space="preserve">Half-Bridge</t>
  </si>
  <si>
    <t xml:space="preserve">Electrolytic Cap</t>
  </si>
  <si>
    <t xml:space="preserve">470uF/63V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</si>
  <si>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방열</t>
    </r>
  </si>
  <si>
    <r>
      <rPr>
        <sz val="10"/>
        <rFont val="Noto Sans CJK SC"/>
        <family val="2"/>
      </rPr>
      <t xml:space="preserve">동 </t>
    </r>
    <r>
      <rPr>
        <sz val="10"/>
        <rFont val="Malgun Gothic"/>
        <family val="0"/>
        <charset val="1"/>
      </rPr>
      <t xml:space="preserve">3.0t</t>
    </r>
  </si>
  <si>
    <t xml:space="preserve">JST XH 5P</t>
  </si>
  <si>
    <t xml:space="preserve">SAC305</t>
  </si>
  <si>
    <t xml:space="preserve">SCM440</t>
  </si>
  <si>
    <t xml:space="preserve">Flange Base</t>
  </si>
  <si>
    <r>
      <rPr>
        <sz val="10"/>
        <rFont val="Malgun Gothic"/>
        <family val="0"/>
        <charset val="1"/>
      </rPr>
      <t xml:space="preserve">AL </t>
    </r>
    <r>
      <rPr>
        <sz val="10"/>
        <rFont val="Noto Sans CJK SC"/>
        <family val="2"/>
      </rPr>
      <t xml:space="preserve">다이캐스트</t>
    </r>
  </si>
  <si>
    <t xml:space="preserve">Top Bushing</t>
  </si>
  <si>
    <t xml:space="preserve">황동</t>
  </si>
  <si>
    <t xml:space="preserve">SCM415</t>
  </si>
  <si>
    <t xml:space="preserve">Z=18</t>
  </si>
  <si>
    <t xml:space="preserve">Z=90</t>
  </si>
  <si>
    <t xml:space="preserve">Gear Oil/Grease</t>
  </si>
  <si>
    <t xml:space="preserve">SCM435</t>
  </si>
  <si>
    <t xml:space="preserve">SUS304</t>
  </si>
  <si>
    <t xml:space="preserve">솔레노이드봉</t>
  </si>
  <si>
    <t xml:space="preserve">합계</t>
  </si>
  <si>
    <t xml:space="preserve">단품 종류 수</t>
  </si>
  <si>
    <r>
      <rPr>
        <b val="true"/>
        <sz val="10"/>
        <rFont val="Noto Sans CJK SC"/>
        <family val="2"/>
      </rPr>
      <t xml:space="preserve">합계 소요량 </t>
    </r>
    <r>
      <rPr>
        <b val="true"/>
        <sz val="10"/>
        <rFont val="Malgun Gothic"/>
        <family val="0"/>
        <charset val="1"/>
      </rPr>
      <t xml:space="preserve">(EA/g/kg </t>
    </r>
    <r>
      <rPr>
        <b val="true"/>
        <sz val="10"/>
        <rFont val="Noto Sans CJK SC"/>
        <family val="2"/>
      </rPr>
      <t xml:space="preserve">혼재</t>
    </r>
    <r>
      <rPr>
        <b val="true"/>
        <sz val="10"/>
        <rFont val="Malgun Gothic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참조용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</si>
  <si>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Malgun Gothic"/>
        <family val="0"/>
        <charset val="1"/>
      </rPr>
      <t xml:space="preserve">BOP — </t>
    </r>
    <r>
      <rPr>
        <b val="true"/>
        <sz val="14"/>
        <color rgb="FFFFFFFF"/>
        <rFont val="Noto Sans CJK SC"/>
        <family val="2"/>
      </rPr>
      <t xml:space="preserve">아마추어</t>
    </r>
    <r>
      <rPr>
        <b val="true"/>
        <sz val="14"/>
        <color rgb="FFFFFFFF"/>
        <rFont val="Malgun Gothic"/>
        <family val="0"/>
        <charset val="1"/>
      </rPr>
      <t xml:space="preserve">(Stator) </t>
    </r>
    <r>
      <rPr>
        <b val="true"/>
        <sz val="14"/>
        <color rgb="FFFFFFFF"/>
        <rFont val="Noto Sans CJK SC"/>
        <family val="2"/>
      </rPr>
      <t xml:space="preserve">라인 </t>
    </r>
    <r>
      <rPr>
        <b val="true"/>
        <sz val="14"/>
        <color rgb="FFFFFFFF"/>
        <rFont val="Malgun Gothic"/>
        <family val="0"/>
        <charset val="1"/>
      </rPr>
      <t xml:space="preserve">(10 </t>
    </r>
    <r>
      <rPr>
        <b val="true"/>
        <sz val="14"/>
        <color rgb="FFFFFFFF"/>
        <rFont val="Noto Sans CJK SC"/>
        <family val="2"/>
      </rPr>
      <t xml:space="preserve">공정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</si>
  <si>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공정</t>
    </r>
    <r>
      <rPr>
        <b val="true"/>
        <sz val="11"/>
        <color rgb="FFFFFFFF"/>
        <rFont val="Malgun Gothic"/>
        <family val="0"/>
        <charset val="1"/>
      </rPr>
      <t xml:space="preserve">No.</t>
    </r>
  </si>
  <si>
    <t xml:space="preserve">공정명</t>
  </si>
  <si>
    <t xml:space="preserve">주요 설비</t>
  </si>
  <si>
    <r>
      <rPr>
        <b val="true"/>
        <sz val="11"/>
        <color rgb="FFFFFFFF"/>
        <rFont val="Noto Sans CJK SC"/>
        <family val="2"/>
      </rPr>
      <t xml:space="preserve">투입 자재</t>
    </r>
    <r>
      <rPr>
        <b val="true"/>
        <sz val="11"/>
        <color rgb="FFFFFFFF"/>
        <rFont val="Malgun Gothic"/>
        <family val="0"/>
        <charset val="1"/>
      </rPr>
      <t xml:space="preserve">(P/N)</t>
    </r>
  </si>
  <si>
    <t xml:space="preserve">산출물</t>
  </si>
  <si>
    <r>
      <rPr>
        <b val="true"/>
        <sz val="11"/>
        <color rgb="FFFFFFFF"/>
        <rFont val="Malgun Gothic"/>
        <family val="0"/>
        <charset val="1"/>
      </rPr>
      <t xml:space="preserve">C/T(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</si>
  <si>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t xml:space="preserve">공정유형</t>
  </si>
  <si>
    <t xml:space="preserve">품질 관리항목</t>
  </si>
  <si>
    <t xml:space="preserve">OP-A10</t>
  </si>
  <si>
    <t xml:space="preserve">규소강판 블랭킹</t>
  </si>
  <si>
    <r>
      <rPr>
        <sz val="10"/>
        <rFont val="Malgun Gothic"/>
        <family val="0"/>
        <charset val="1"/>
      </rPr>
      <t xml:space="preserve">300t </t>
    </r>
    <r>
      <rPr>
        <sz val="10"/>
        <rFont val="Noto Sans CJK SC"/>
        <family val="2"/>
      </rPr>
      <t xml:space="preserve">프레스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순차이송금형</t>
    </r>
  </si>
  <si>
    <r>
      <rPr>
        <sz val="10"/>
        <rFont val="Noto Sans CJK SC"/>
        <family val="2"/>
      </rPr>
      <t xml:space="preserve">스테이터 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片</t>
    </r>
    <r>
      <rPr>
        <sz val="10"/>
        <rFont val="Malgun Gothic"/>
        <family val="0"/>
        <charset val="1"/>
      </rPr>
      <t xml:space="preserve">)</t>
    </r>
  </si>
  <si>
    <t xml:space="preserve">표준</t>
  </si>
  <si>
    <r>
      <rPr>
        <sz val="10"/>
        <rFont val="Noto Sans CJK SC"/>
        <family val="2"/>
      </rPr>
      <t xml:space="preserve">치수 </t>
    </r>
    <r>
      <rPr>
        <sz val="10"/>
        <rFont val="Malgun Gothic"/>
        <family val="0"/>
        <charset val="1"/>
      </rPr>
      <t xml:space="preserve">±0.02, Burr ≤10</t>
    </r>
    <r>
      <rPr>
        <sz val="10"/>
        <rFont val="Noto Sans CJK SC"/>
        <family val="2"/>
      </rPr>
      <t xml:space="preserve">㎛</t>
    </r>
  </si>
  <si>
    <t xml:space="preserve">OP-A20</t>
  </si>
  <si>
    <r>
      <rPr>
        <sz val="10"/>
        <rFont val="Noto Sans CJK SC"/>
        <family val="2"/>
      </rPr>
      <t xml:space="preserve">코어 적층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결합</t>
    </r>
  </si>
  <si>
    <r>
      <rPr>
        <sz val="10"/>
        <rFont val="Noto Sans CJK SC"/>
        <family val="2"/>
      </rPr>
      <t xml:space="preserve">자동 적층기 </t>
    </r>
    <r>
      <rPr>
        <sz val="10"/>
        <rFont val="Malgun Gothic"/>
        <family val="0"/>
        <charset val="1"/>
      </rPr>
      <t xml:space="preserve">(Self-bonding)</t>
    </r>
  </si>
  <si>
    <r>
      <rPr>
        <sz val="10"/>
        <rFont val="Noto Sans CJK SC"/>
        <family val="2"/>
      </rPr>
      <t xml:space="preserve">블랭킹편 </t>
    </r>
    <r>
      <rPr>
        <sz val="10"/>
        <rFont val="Malgun Gothic"/>
        <family val="0"/>
        <charset val="1"/>
      </rPr>
      <t xml:space="preserve">×80</t>
    </r>
  </si>
  <si>
    <r>
      <rPr>
        <sz val="10"/>
        <rFont val="Noto Sans CJK SC"/>
        <family val="2"/>
      </rPr>
      <t xml:space="preserve">적층높이 </t>
    </r>
    <r>
      <rPr>
        <sz val="10"/>
        <rFont val="Malgun Gothic"/>
        <family val="0"/>
        <charset val="1"/>
      </rPr>
      <t xml:space="preserve">40±0.1, </t>
    </r>
    <r>
      <rPr>
        <sz val="10"/>
        <rFont val="Noto Sans CJK SC"/>
        <family val="2"/>
      </rPr>
      <t xml:space="preserve">동심도 </t>
    </r>
    <r>
      <rPr>
        <sz val="10"/>
        <rFont val="Malgun Gothic"/>
        <family val="0"/>
        <charset val="1"/>
      </rPr>
      <t xml:space="preserve">0.03</t>
    </r>
  </si>
  <si>
    <t xml:space="preserve">OP-A30</t>
  </si>
  <si>
    <t xml:space="preserve">인슐레이터 조립</t>
  </si>
  <si>
    <t xml:space="preserve">반자동 지그</t>
  </si>
  <si>
    <t xml:space="preserve">IN-1020U/L, SC-1010</t>
  </si>
  <si>
    <t xml:space="preserve">인슐레이터 결합코어</t>
  </si>
  <si>
    <r>
      <rPr>
        <sz val="10"/>
        <rFont val="Noto Sans CJK SC"/>
        <family val="2"/>
      </rPr>
      <t xml:space="preserve">삽입 완료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크랙 無</t>
    </r>
  </si>
  <si>
    <t xml:space="preserve">OP-A40</t>
  </si>
  <si>
    <r>
      <rPr>
        <sz val="10"/>
        <rFont val="Malgun Gothic"/>
        <family val="0"/>
        <charset val="1"/>
      </rPr>
      <t xml:space="preserve">Needle Winding (</t>
    </r>
    <r>
      <rPr>
        <sz val="10"/>
        <rFont val="Noto Sans CJK SC"/>
        <family val="2"/>
      </rPr>
      <t xml:space="preserve">권선</t>
    </r>
    <r>
      <rPr>
        <sz val="10"/>
        <rFont val="Malgun Gothic"/>
        <family val="0"/>
        <charset val="1"/>
      </rPr>
      <t xml:space="preserve">)</t>
    </r>
  </si>
  <si>
    <t xml:space="preserve">니들 와인더</t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</si>
  <si>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상 권선 스테이터</t>
    </r>
  </si>
  <si>
    <t xml:space="preserve">병목</t>
  </si>
  <si>
    <r>
      <rPr>
        <sz val="10"/>
        <rFont val="Malgun Gothic"/>
        <family val="0"/>
        <charset val="1"/>
      </rPr>
      <t xml:space="preserve">U/V/W </t>
    </r>
    <r>
      <rPr>
        <sz val="10"/>
        <rFont val="Noto Sans CJK SC"/>
        <family val="2"/>
      </rPr>
      <t xml:space="preserve">각 </t>
    </r>
    <r>
      <rPr>
        <sz val="10"/>
        <rFont val="Malgun Gothic"/>
        <family val="0"/>
        <charset val="1"/>
      </rPr>
      <t xml:space="preserve">45T, </t>
    </r>
    <r>
      <rPr>
        <sz val="10"/>
        <rFont val="Noto Sans CJK SC"/>
        <family val="2"/>
      </rPr>
      <t xml:space="preserve">장력 </t>
    </r>
    <r>
      <rPr>
        <sz val="10"/>
        <rFont val="Malgun Gothic"/>
        <family val="0"/>
        <charset val="1"/>
      </rPr>
      <t xml:space="preserve">250gf</t>
    </r>
  </si>
  <si>
    <r>
      <rPr>
        <sz val="10"/>
        <rFont val="Noto Sans CJK SC"/>
        <family val="2"/>
      </rPr>
      <t xml:space="preserve">병렬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 권장</t>
    </r>
  </si>
  <si>
    <t xml:space="preserve">OP-A50</t>
  </si>
  <si>
    <r>
      <rPr>
        <sz val="10"/>
        <rFont val="Noto Sans CJK SC"/>
        <family val="2"/>
      </rPr>
      <t xml:space="preserve">결선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포밍</t>
    </r>
  </si>
  <si>
    <r>
      <rPr>
        <sz val="10"/>
        <rFont val="Noto Sans CJK SC"/>
        <family val="2"/>
      </rPr>
      <t xml:space="preserve">결선지그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포밍툴</t>
    </r>
  </si>
  <si>
    <t xml:space="preserve">-</t>
  </si>
  <si>
    <t xml:space="preserve">결선 완료품</t>
  </si>
  <si>
    <r>
      <rPr>
        <sz val="10"/>
        <rFont val="Noto Sans CJK SC"/>
        <family val="2"/>
      </rPr>
      <t xml:space="preserve">상간 절연</t>
    </r>
    <r>
      <rPr>
        <sz val="10"/>
        <rFont val="Malgun Gothic"/>
        <family val="0"/>
        <charset val="1"/>
      </rPr>
      <t xml:space="preserve">, U-V-W </t>
    </r>
    <r>
      <rPr>
        <sz val="10"/>
        <rFont val="Noto Sans CJK SC"/>
        <family val="2"/>
      </rPr>
      <t xml:space="preserve">순서</t>
    </r>
  </si>
  <si>
    <t xml:space="preserve">OP-A60</t>
  </si>
  <si>
    <t xml:space="preserve">리드선 납땜</t>
  </si>
  <si>
    <t xml:space="preserve">자동 솔더링 로봇</t>
  </si>
  <si>
    <t xml:space="preserve">LW-1050, TM-1060</t>
  </si>
  <si>
    <t xml:space="preserve">리드 부착품</t>
  </si>
  <si>
    <r>
      <rPr>
        <sz val="10"/>
        <rFont val="Noto Sans CJK SC"/>
        <family val="2"/>
      </rPr>
      <t xml:space="preserve">납땜강도 ≥</t>
    </r>
    <r>
      <rPr>
        <sz val="10"/>
        <rFont val="Malgun Gothic"/>
        <family val="0"/>
        <charset val="1"/>
      </rPr>
      <t xml:space="preserve">5N</t>
    </r>
  </si>
  <si>
    <t xml:space="preserve">OP-A70</t>
  </si>
  <si>
    <r>
      <rPr>
        <sz val="10"/>
        <rFont val="Noto Sans CJK SC"/>
        <family val="2"/>
      </rPr>
      <t xml:space="preserve">절연저항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내전압</t>
    </r>
  </si>
  <si>
    <t xml:space="preserve">Hi-Pot Tester 1500V</t>
  </si>
  <si>
    <r>
      <rPr>
        <sz val="10"/>
        <rFont val="Malgun Gothic"/>
        <family val="0"/>
        <charset val="1"/>
      </rPr>
      <t xml:space="preserve">QC </t>
    </r>
    <r>
      <rPr>
        <sz val="10"/>
        <rFont val="Noto Sans CJK SC"/>
        <family val="2"/>
      </rPr>
      <t xml:space="preserve">합격품</t>
    </r>
  </si>
  <si>
    <t xml:space="preserve">QC</t>
  </si>
  <si>
    <t xml:space="preserve">IR ≥100MΩ, Leak ≤1mA</t>
  </si>
  <si>
    <t xml:space="preserve">Gate</t>
  </si>
  <si>
    <t xml:space="preserve">OP-A80</t>
  </si>
  <si>
    <r>
      <rPr>
        <sz val="10"/>
        <rFont val="Noto Sans CJK SC"/>
        <family val="2"/>
      </rPr>
      <t xml:space="preserve">바니시 함침 </t>
    </r>
    <r>
      <rPr>
        <sz val="10"/>
        <rFont val="Malgun Gothic"/>
        <family val="0"/>
        <charset val="1"/>
      </rPr>
      <t xml:space="preserve">(VPI)</t>
    </r>
  </si>
  <si>
    <t xml:space="preserve">진공 함침조</t>
  </si>
  <si>
    <t xml:space="preserve">함침 스테이터</t>
  </si>
  <si>
    <t xml:space="preserve">배치</t>
  </si>
  <si>
    <r>
      <rPr>
        <sz val="10"/>
        <rFont val="Noto Sans CJK SC"/>
        <family val="2"/>
      </rPr>
      <t xml:space="preserve">함침율 ≥</t>
    </r>
    <r>
      <rPr>
        <sz val="10"/>
        <rFont val="Malgun Gothic"/>
        <family val="0"/>
        <charset val="1"/>
      </rPr>
      <t xml:space="preserve">95%</t>
    </r>
  </si>
  <si>
    <r>
      <rPr>
        <sz val="10"/>
        <rFont val="Malgun Gothic"/>
        <family val="0"/>
        <charset val="1"/>
      </rPr>
      <t xml:space="preserve">30ea/</t>
    </r>
    <r>
      <rPr>
        <sz val="10"/>
        <rFont val="Noto Sans CJK SC"/>
        <family val="2"/>
      </rPr>
      <t xml:space="preserve">배치</t>
    </r>
  </si>
  <si>
    <t xml:space="preserve">OP-A90</t>
  </si>
  <si>
    <r>
      <rPr>
        <sz val="10"/>
        <rFont val="Noto Sans CJK SC"/>
        <family val="2"/>
      </rPr>
      <t xml:space="preserve">큐어링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건조</t>
    </r>
  </si>
  <si>
    <r>
      <rPr>
        <sz val="10"/>
        <rFont val="Noto Sans CJK SC"/>
        <family val="2"/>
      </rPr>
      <t xml:space="preserve">열풍 건조로 </t>
    </r>
    <r>
      <rPr>
        <sz val="10"/>
        <rFont val="Malgun Gothic"/>
        <family val="0"/>
        <charset val="1"/>
      </rPr>
      <t xml:space="preserve">150℃</t>
    </r>
  </si>
  <si>
    <t xml:space="preserve">경화 완료품</t>
  </si>
  <si>
    <t xml:space="preserve">온도 프로파일</t>
  </si>
  <si>
    <t xml:space="preserve">OP-A100</t>
  </si>
  <si>
    <t xml:space="preserve">아마추어 최종검사</t>
  </si>
  <si>
    <t xml:space="preserve">LCR Meter</t>
  </si>
  <si>
    <r>
      <rPr>
        <sz val="10"/>
        <rFont val="Malgun Gothic"/>
        <family val="0"/>
        <charset val="1"/>
      </rPr>
      <t xml:space="preserve">SA-1000 </t>
    </r>
    <r>
      <rPr>
        <sz val="10"/>
        <rFont val="Noto Sans CJK SC"/>
        <family val="2"/>
      </rPr>
      <t xml:space="preserve">완성</t>
    </r>
  </si>
  <si>
    <t xml:space="preserve">완성</t>
  </si>
  <si>
    <r>
      <rPr>
        <sz val="10"/>
        <rFont val="Noto Sans CJK SC"/>
        <family val="2"/>
      </rPr>
      <t xml:space="preserve">상간 저항 편차 ≤</t>
    </r>
    <r>
      <rPr>
        <sz val="10"/>
        <rFont val="Malgun Gothic"/>
        <family val="0"/>
        <charset val="1"/>
      </rPr>
      <t xml:space="preserve">3%</t>
    </r>
  </si>
  <si>
    <t xml:space="preserve">→ 조립라인 투입</t>
  </si>
  <si>
    <r>
      <rPr>
        <b val="true"/>
        <sz val="10"/>
        <rFont val="Noto Sans CJK SC"/>
        <family val="2"/>
      </rPr>
      <t xml:space="preserve">아마추어 라인 총 </t>
    </r>
    <r>
      <rPr>
        <b val="true"/>
        <sz val="10"/>
        <rFont val="Malgun Gothic"/>
        <family val="0"/>
        <charset val="1"/>
      </rPr>
      <t xml:space="preserve">C/T 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 — </t>
    </r>
    <r>
      <rPr>
        <b val="true"/>
        <sz val="10"/>
        <rFont val="Noto Sans CJK SC"/>
        <family val="2"/>
      </rPr>
      <t xml:space="preserve">배치공정 포함</t>
    </r>
  </si>
  <si>
    <r>
      <rPr>
        <b val="true"/>
        <sz val="10"/>
        <rFont val="Noto Sans CJK SC"/>
        <family val="2"/>
      </rPr>
      <t xml:space="preserve">배치공정 제외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표준</t>
    </r>
    <r>
      <rPr>
        <b val="true"/>
        <sz val="10"/>
        <rFont val="Malgun Gothic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병목</t>
    </r>
    <r>
      <rPr>
        <b val="true"/>
        <sz val="10"/>
        <rFont val="Malgun Gothic"/>
        <family val="0"/>
        <charset val="1"/>
      </rPr>
      <t xml:space="preserve">+QC+</t>
    </r>
    <r>
      <rPr>
        <b val="true"/>
        <sz val="10"/>
        <rFont val="Noto Sans CJK SC"/>
        <family val="2"/>
      </rPr>
      <t xml:space="preserve">완성</t>
    </r>
    <r>
      <rPr>
        <b val="true"/>
        <sz val="10"/>
        <rFont val="Malgun Gothic"/>
        <family val="0"/>
        <charset val="1"/>
      </rPr>
      <t xml:space="preserve">) C/T 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</si>
  <si>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Malgun Gothic"/>
        <family val="0"/>
        <charset val="1"/>
      </rPr>
      <t xml:space="preserve">BOP — </t>
    </r>
    <r>
      <rPr>
        <b val="true"/>
        <sz val="14"/>
        <color rgb="FFFFFFFF"/>
        <rFont val="Noto Sans CJK SC"/>
        <family val="2"/>
      </rPr>
      <t xml:space="preserve">조립 라인 </t>
    </r>
    <r>
      <rPr>
        <b val="true"/>
        <sz val="14"/>
        <color rgb="FFFFFFFF"/>
        <rFont val="Malgun Gothic"/>
        <family val="0"/>
        <charset val="1"/>
      </rPr>
      <t xml:space="preserve">(12 </t>
    </r>
    <r>
      <rPr>
        <b val="true"/>
        <sz val="14"/>
        <color rgb="FFFFFFFF"/>
        <rFont val="Noto Sans CJK SC"/>
        <family val="2"/>
      </rPr>
      <t xml:space="preserve">공정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</si>
  <si>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t xml:space="preserve">OP-B10</t>
  </si>
  <si>
    <r>
      <rPr>
        <sz val="10"/>
        <rFont val="Noto Sans CJK SC"/>
        <family val="2"/>
      </rPr>
      <t xml:space="preserve">샤프트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로터코어 압입</t>
    </r>
  </si>
  <si>
    <r>
      <rPr>
        <sz val="10"/>
        <rFont val="Noto Sans CJK SC"/>
        <family val="2"/>
      </rPr>
      <t xml:space="preserve">서보 프레스 </t>
    </r>
    <r>
      <rPr>
        <sz val="10"/>
        <rFont val="Malgun Gothic"/>
        <family val="0"/>
        <charset val="1"/>
      </rPr>
      <t xml:space="preserve">2t</t>
    </r>
  </si>
  <si>
    <t xml:space="preserve">SH-2010, RC-2020</t>
  </si>
  <si>
    <t xml:space="preserve">로터 서브</t>
  </si>
  <si>
    <r>
      <rPr>
        <sz val="10"/>
        <rFont val="Noto Sans CJK SC"/>
        <family val="2"/>
      </rPr>
      <t xml:space="preserve">압입력 </t>
    </r>
    <r>
      <rPr>
        <sz val="10"/>
        <rFont val="Malgun Gothic"/>
        <family val="0"/>
        <charset val="1"/>
      </rPr>
      <t xml:space="preserve">800±100kgf, </t>
    </r>
    <r>
      <rPr>
        <sz val="10"/>
        <rFont val="Noto Sans CJK SC"/>
        <family val="2"/>
      </rPr>
      <t xml:space="preserve">동심도 </t>
    </r>
    <r>
      <rPr>
        <sz val="10"/>
        <rFont val="Malgun Gothic"/>
        <family val="0"/>
        <charset val="1"/>
      </rPr>
      <t xml:space="preserve">0.02</t>
    </r>
  </si>
  <si>
    <t xml:space="preserve">OP-B20</t>
  </si>
  <si>
    <t xml:space="preserve">마그넷 접착</t>
  </si>
  <si>
    <r>
      <rPr>
        <sz val="10"/>
        <rFont val="Noto Sans CJK SC"/>
        <family val="2"/>
      </rPr>
      <t xml:space="preserve">접착 지그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디스펜서</t>
    </r>
  </si>
  <si>
    <t xml:space="preserve">PM-2030, AD-2040</t>
  </si>
  <si>
    <t xml:space="preserve">마그넷 부착 로터</t>
  </si>
  <si>
    <r>
      <rPr>
        <sz val="10"/>
        <rFont val="Noto Sans CJK SC"/>
        <family val="2"/>
      </rPr>
      <t xml:space="preserve">접착 갭 </t>
    </r>
    <r>
      <rPr>
        <sz val="10"/>
        <rFont val="Malgun Gothic"/>
        <family val="0"/>
        <charset val="1"/>
      </rPr>
      <t xml:space="preserve">0.05±0.02</t>
    </r>
  </si>
  <si>
    <t xml:space="preserve">OP-B30</t>
  </si>
  <si>
    <t xml:space="preserve">마그넷 착자</t>
  </si>
  <si>
    <r>
      <rPr>
        <sz val="10"/>
        <rFont val="Noto Sans CJK SC"/>
        <family val="2"/>
      </rPr>
      <t xml:space="preserve">착자기 </t>
    </r>
    <r>
      <rPr>
        <sz val="10"/>
        <rFont val="Malgun Gothic"/>
        <family val="0"/>
        <charset val="1"/>
      </rPr>
      <t xml:space="preserve">(Capacitor Discharge)</t>
    </r>
  </si>
  <si>
    <t xml:space="preserve">착자 로터</t>
  </si>
  <si>
    <t xml:space="preserve">4,200±200 Gauss</t>
  </si>
  <si>
    <t xml:space="preserve">OP-B40</t>
  </si>
  <si>
    <t xml:space="preserve">로터 다이나믹 밸런싱</t>
  </si>
  <si>
    <t xml:space="preserve">밸런싱 머신</t>
  </si>
  <si>
    <r>
      <rPr>
        <sz val="10"/>
        <rFont val="Malgun Gothic"/>
        <family val="0"/>
        <charset val="1"/>
      </rPr>
      <t xml:space="preserve">RA-2000 </t>
    </r>
    <r>
      <rPr>
        <sz val="10"/>
        <rFont val="Noto Sans CJK SC"/>
        <family val="2"/>
      </rPr>
      <t xml:space="preserve">완성</t>
    </r>
  </si>
  <si>
    <r>
      <rPr>
        <sz val="10"/>
        <rFont val="Noto Sans CJK SC"/>
        <family val="2"/>
      </rPr>
      <t xml:space="preserve">불균형량 ≤</t>
    </r>
    <r>
      <rPr>
        <sz val="10"/>
        <rFont val="Malgun Gothic"/>
        <family val="0"/>
        <charset val="1"/>
      </rPr>
      <t xml:space="preserve">0.5 g·mm</t>
    </r>
  </si>
  <si>
    <t xml:space="preserve">OP-B50</t>
  </si>
  <si>
    <r>
      <rPr>
        <sz val="10"/>
        <rFont val="Noto Sans CJK SC"/>
        <family val="2"/>
      </rPr>
      <t xml:space="preserve">스테이터 압입 </t>
    </r>
    <r>
      <rPr>
        <sz val="10"/>
        <rFont val="Malgun Gothic"/>
        <family val="0"/>
        <charset val="1"/>
      </rPr>
      <t xml:space="preserve">(Housing)</t>
    </r>
  </si>
  <si>
    <r>
      <rPr>
        <sz val="10"/>
        <rFont val="Noto Sans CJK SC"/>
        <family val="2"/>
      </rPr>
      <t xml:space="preserve">프레스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히팅지그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열박음</t>
    </r>
    <r>
      <rPr>
        <sz val="10"/>
        <rFont val="Malgun Gothic"/>
        <family val="0"/>
        <charset val="1"/>
      </rPr>
      <t xml:space="preserve">)</t>
    </r>
  </si>
  <si>
    <t xml:space="preserve">SA-1000, HS-3010</t>
  </si>
  <si>
    <r>
      <rPr>
        <sz val="10"/>
        <rFont val="Noto Sans CJK SC"/>
        <family val="2"/>
      </rPr>
      <t xml:space="preserve">하우징</t>
    </r>
    <r>
      <rPr>
        <sz val="10"/>
        <rFont val="Malgun Gothic"/>
        <family val="0"/>
        <charset val="1"/>
      </rPr>
      <t xml:space="preserve">+</t>
    </r>
    <r>
      <rPr>
        <sz val="10"/>
        <rFont val="Noto Sans CJK SC"/>
        <family val="2"/>
      </rPr>
      <t xml:space="preserve">스테이터</t>
    </r>
  </si>
  <si>
    <r>
      <rPr>
        <sz val="10"/>
        <rFont val="Noto Sans CJK SC"/>
        <family val="2"/>
      </rPr>
      <t xml:space="preserve">압입력 </t>
    </r>
    <r>
      <rPr>
        <sz val="10"/>
        <rFont val="Malgun Gothic"/>
        <family val="0"/>
        <charset val="1"/>
      </rPr>
      <t xml:space="preserve">500~800kgf</t>
    </r>
  </si>
  <si>
    <t xml:space="preserve">OP-B60</t>
  </si>
  <si>
    <t xml:space="preserve">베어링 압입</t>
  </si>
  <si>
    <t xml:space="preserve">베어링 압입 지그</t>
  </si>
  <si>
    <t xml:space="preserve">BF-3040, BR-3050, WW-3060</t>
  </si>
  <si>
    <t xml:space="preserve">브라켓 서브</t>
  </si>
  <si>
    <r>
      <rPr>
        <sz val="10"/>
        <rFont val="Noto Sans CJK SC"/>
        <family val="2"/>
      </rPr>
      <t xml:space="preserve">회전토크 ≤</t>
    </r>
    <r>
      <rPr>
        <sz val="10"/>
        <rFont val="Malgun Gothic"/>
        <family val="0"/>
        <charset val="1"/>
      </rPr>
      <t xml:space="preserve">3 mN·m</t>
    </r>
  </si>
  <si>
    <t xml:space="preserve">OP-B70</t>
  </si>
  <si>
    <t xml:space="preserve">로터 삽입</t>
  </si>
  <si>
    <t xml:space="preserve">자력제어 조립지그</t>
  </si>
  <si>
    <t xml:space="preserve">로터 삽입 완료</t>
  </si>
  <si>
    <r>
      <rPr>
        <sz val="10"/>
        <rFont val="Noto Sans CJK SC"/>
        <family val="2"/>
      </rPr>
      <t xml:space="preserve">에어갭 </t>
    </r>
    <r>
      <rPr>
        <sz val="10"/>
        <rFont val="Malgun Gothic"/>
        <family val="0"/>
        <charset val="1"/>
      </rPr>
      <t xml:space="preserve">0.3±0.05</t>
    </r>
  </si>
  <si>
    <t xml:space="preserve">OP-B80</t>
  </si>
  <si>
    <t xml:space="preserve">브라켓 체결</t>
  </si>
  <si>
    <t xml:space="preserve">전동 토크드라이버</t>
  </si>
  <si>
    <t xml:space="preserve">BP-3020F/R, BT-3070</t>
  </si>
  <si>
    <t xml:space="preserve">하우징 완성</t>
  </si>
  <si>
    <r>
      <rPr>
        <sz val="10"/>
        <rFont val="Noto Sans CJK SC"/>
        <family val="2"/>
      </rPr>
      <t xml:space="preserve">체결토크 </t>
    </r>
    <r>
      <rPr>
        <sz val="10"/>
        <rFont val="Malgun Gothic"/>
        <family val="0"/>
        <charset val="1"/>
      </rPr>
      <t xml:space="preserve">2.5±0.2 N·m</t>
    </r>
  </si>
  <si>
    <t xml:space="preserve">OP-B85</t>
  </si>
  <si>
    <t xml:space="preserve">기어박스 조립</t>
  </si>
  <si>
    <t xml:space="preserve">기어 조립지그</t>
  </si>
  <si>
    <t xml:space="preserve">GB-8010~8050</t>
  </si>
  <si>
    <r>
      <rPr>
        <sz val="10"/>
        <rFont val="Malgun Gothic"/>
        <family val="0"/>
        <charset val="1"/>
      </rPr>
      <t xml:space="preserve">GB-8000 </t>
    </r>
    <r>
      <rPr>
        <sz val="10"/>
        <rFont val="Noto Sans CJK SC"/>
        <family val="2"/>
      </rPr>
      <t xml:space="preserve">완성</t>
    </r>
  </si>
  <si>
    <r>
      <rPr>
        <sz val="10"/>
        <rFont val="Noto Sans CJK SC"/>
        <family val="2"/>
      </rPr>
      <t xml:space="preserve">백래시 </t>
    </r>
    <r>
      <rPr>
        <sz val="10"/>
        <rFont val="Malgun Gothic"/>
        <family val="0"/>
        <charset val="1"/>
      </rPr>
      <t xml:space="preserve">0.05~0.15mm</t>
    </r>
  </si>
  <si>
    <t xml:space="preserve">신규 공정</t>
  </si>
  <si>
    <t xml:space="preserve">OP-B87</t>
  </si>
  <si>
    <t xml:space="preserve">파킹락 조립</t>
  </si>
  <si>
    <t xml:space="preserve">조립지그</t>
  </si>
  <si>
    <t xml:space="preserve">PL-9010~9040</t>
  </si>
  <si>
    <r>
      <rPr>
        <sz val="10"/>
        <rFont val="Malgun Gothic"/>
        <family val="0"/>
        <charset val="1"/>
      </rPr>
      <t xml:space="preserve">PL-9000 </t>
    </r>
    <r>
      <rPr>
        <sz val="10"/>
        <rFont val="Noto Sans CJK SC"/>
        <family val="2"/>
      </rPr>
      <t xml:space="preserve">완성</t>
    </r>
  </si>
  <si>
    <t xml:space="preserve">파울 걸림력 확인</t>
  </si>
  <si>
    <t xml:space="preserve">OP-B90</t>
  </si>
  <si>
    <r>
      <rPr>
        <sz val="10"/>
        <rFont val="Malgun Gothic"/>
        <family val="0"/>
        <charset val="1"/>
      </rPr>
      <t xml:space="preserve">Power Electronics </t>
    </r>
    <r>
      <rPr>
        <sz val="10"/>
        <rFont val="Noto Sans CJK SC"/>
        <family val="2"/>
      </rPr>
      <t xml:space="preserve">조립</t>
    </r>
  </si>
  <si>
    <r>
      <rPr>
        <sz val="10"/>
        <rFont val="Malgun Gothic"/>
        <family val="0"/>
        <charset val="1"/>
      </rPr>
      <t xml:space="preserve">SMT + </t>
    </r>
    <r>
      <rPr>
        <sz val="10"/>
        <rFont val="Noto Sans CJK SC"/>
        <family val="2"/>
      </rPr>
      <t xml:space="preserve">자동 결선</t>
    </r>
  </si>
  <si>
    <r>
      <rPr>
        <sz val="10"/>
        <rFont val="Malgun Gothic"/>
        <family val="0"/>
        <charset val="1"/>
      </rPr>
      <t xml:space="preserve">PE-6000 </t>
    </r>
    <r>
      <rPr>
        <sz val="10"/>
        <rFont val="Noto Sans CJK SC"/>
        <family val="2"/>
      </rPr>
      <t xml:space="preserve">자재</t>
    </r>
  </si>
  <si>
    <t xml:space="preserve">제어부 결합</t>
  </si>
  <si>
    <r>
      <rPr>
        <sz val="10"/>
        <rFont val="Noto Sans CJK SC"/>
        <family val="2"/>
      </rPr>
      <t xml:space="preserve">홀 위상각 오차 ≤</t>
    </r>
    <r>
      <rPr>
        <sz val="10"/>
        <rFont val="Malgun Gothic"/>
        <family val="0"/>
        <charset val="1"/>
      </rPr>
      <t xml:space="preserve">2°</t>
    </r>
  </si>
  <si>
    <t xml:space="preserve">OP-B100</t>
  </si>
  <si>
    <r>
      <rPr>
        <sz val="10"/>
        <rFont val="Noto Sans CJK SC"/>
        <family val="2"/>
      </rPr>
      <t xml:space="preserve">커넥터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케이블 결선</t>
    </r>
  </si>
  <si>
    <t xml:space="preserve">커넥터 압착기</t>
  </si>
  <si>
    <t xml:space="preserve">CN-4030, CG-5030, OR-5020</t>
  </si>
  <si>
    <t xml:space="preserve">결선 완료</t>
  </si>
  <si>
    <t xml:space="preserve">도통 시험</t>
  </si>
  <si>
    <t xml:space="preserve">OP-B110</t>
  </si>
  <si>
    <r>
      <rPr>
        <sz val="10"/>
        <rFont val="Noto Sans CJK SC"/>
        <family val="2"/>
      </rPr>
      <t xml:space="preserve">성능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기능 시험</t>
    </r>
  </si>
  <si>
    <r>
      <rPr>
        <sz val="10"/>
        <rFont val="Noto Sans CJK SC"/>
        <family val="2"/>
      </rPr>
      <t xml:space="preserve">다이나모미터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파워메터</t>
    </r>
  </si>
  <si>
    <t xml:space="preserve">시험 합격품</t>
  </si>
  <si>
    <r>
      <rPr>
        <sz val="10"/>
        <rFont val="Noto Sans CJK SC"/>
        <family val="2"/>
      </rPr>
      <t xml:space="preserve">무부하 전류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정격 토크</t>
    </r>
    <r>
      <rPr>
        <sz val="10"/>
        <rFont val="Malgun Gothic"/>
        <family val="0"/>
        <charset val="1"/>
      </rPr>
      <t xml:space="preserve">, Cogging, </t>
    </r>
    <r>
      <rPr>
        <sz val="10"/>
        <rFont val="Noto Sans CJK SC"/>
        <family val="2"/>
      </rPr>
      <t xml:space="preserve">소음 ≤</t>
    </r>
    <r>
      <rPr>
        <sz val="10"/>
        <rFont val="Malgun Gothic"/>
        <family val="0"/>
        <charset val="1"/>
      </rPr>
      <t xml:space="preserve">55dB</t>
    </r>
  </si>
  <si>
    <t xml:space="preserve">QC Gate</t>
  </si>
  <si>
    <t xml:space="preserve">OP-B120</t>
  </si>
  <si>
    <r>
      <rPr>
        <sz val="10"/>
        <rFont val="Noto Sans CJK SC"/>
        <family val="2"/>
      </rPr>
      <t xml:space="preserve">각인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외관검사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포장</t>
    </r>
  </si>
  <si>
    <r>
      <rPr>
        <sz val="10"/>
        <rFont val="Noto Sans CJK SC"/>
        <family val="2"/>
      </rPr>
      <t xml:space="preserve">레이저 마킹</t>
    </r>
    <r>
      <rPr>
        <sz val="10"/>
        <rFont val="Malgun Gothic"/>
        <family val="0"/>
        <charset val="1"/>
      </rPr>
      <t xml:space="preserve">, AVI</t>
    </r>
  </si>
  <si>
    <t xml:space="preserve">NP-5010, Carton</t>
  </si>
  <si>
    <t xml:space="preserve">출하품</t>
  </si>
  <si>
    <r>
      <rPr>
        <sz val="10"/>
        <rFont val="Noto Sans CJK SC"/>
        <family val="2"/>
      </rPr>
      <t xml:space="preserve">마킹 판독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외관 스크래치 無</t>
    </r>
  </si>
  <si>
    <t xml:space="preserve">→ 출하</t>
  </si>
  <si>
    <r>
      <rPr>
        <b val="true"/>
        <sz val="10"/>
        <rFont val="Noto Sans CJK SC"/>
        <family val="2"/>
      </rPr>
      <t xml:space="preserve">조립 라인 총 </t>
    </r>
    <r>
      <rPr>
        <b val="true"/>
        <sz val="10"/>
        <rFont val="Malgun Gothic"/>
        <family val="0"/>
        <charset val="1"/>
      </rPr>
      <t xml:space="preserve">C/T (</t>
    </r>
    <r>
      <rPr>
        <b val="true"/>
        <sz val="10"/>
        <rFont val="Noto Sans CJK SC"/>
        <family val="2"/>
      </rPr>
      <t xml:space="preserve">초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</si>
  <si>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4"/>
        <color rgb="FFFFFFFF"/>
        <rFont val="Noto Sans CJK SC"/>
        <family val="2"/>
      </rPr>
      <t xml:space="preserve">라인 밸런싱 </t>
    </r>
    <r>
      <rPr>
        <b val="true"/>
        <sz val="14"/>
        <color rgb="FFFFFFFF"/>
        <rFont val="Malgun Gothic"/>
        <family val="0"/>
        <charset val="1"/>
      </rPr>
      <t xml:space="preserve">· UPH </t>
    </r>
    <r>
      <rPr>
        <b val="true"/>
        <sz val="14"/>
        <color rgb="FFFFFFFF"/>
        <rFont val="Noto Sans CJK SC"/>
        <family val="2"/>
      </rPr>
      <t xml:space="preserve">산출</t>
    </r>
  </si>
  <si>
    <r>
      <rPr>
        <b val="true"/>
        <sz val="10"/>
        <rFont val="Noto Sans CJK SC"/>
        <family val="2"/>
      </rPr>
      <t xml:space="preserve">가동시간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시간</t>
    </r>
    <r>
      <rPr>
        <b val="true"/>
        <sz val="10"/>
        <rFont val="Malgun Gothic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일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</si>
  <si>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가동효율 </t>
    </r>
    <r>
      <rPr>
        <b val="true"/>
        <sz val="10"/>
        <rFont val="Malgun Gothic"/>
        <family val="0"/>
        <charset val="1"/>
      </rPr>
      <t xml:space="preserve">(OEE)</t>
    </r>
  </si>
  <si>
    <r>
      <rPr>
        <b val="true"/>
        <sz val="10"/>
        <rFont val="Noto Sans CJK SC"/>
        <family val="2"/>
      </rPr>
      <t xml:space="preserve">일 가동초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계산</t>
    </r>
    <r>
      <rPr>
        <b val="true"/>
        <sz val="10"/>
        <rFont val="Malgun Gothic"/>
        <family val="0"/>
        <charset val="1"/>
      </rPr>
      <t xml:space="preserve">)</t>
    </r>
  </si>
  <si>
    <t xml:space="preserve">라인</t>
  </si>
  <si>
    <t xml:space="preserve">병목공정</t>
  </si>
  <si>
    <r>
      <rPr>
        <b val="true"/>
        <sz val="11"/>
        <color rgb="FFFFFFFF"/>
        <rFont val="Noto Sans CJK SC"/>
        <family val="2"/>
      </rPr>
      <t xml:space="preserve">병목 </t>
    </r>
    <r>
      <rPr>
        <b val="true"/>
        <sz val="11"/>
        <color rgb="FFFFFFFF"/>
        <rFont val="Malgun Gothic"/>
        <family val="0"/>
        <charset val="1"/>
      </rPr>
      <t xml:space="preserve">C/T(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</si>
  <si>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Malgun Gothic"/>
        <family val="0"/>
        <charset val="1"/>
      </rPr>
      <t xml:space="preserve">UPH (1</t>
    </r>
    <r>
      <rPr>
        <b val="true"/>
        <sz val="11"/>
        <color rgb="FFFFFFFF"/>
        <rFont val="Noto Sans CJK SC"/>
        <family val="2"/>
      </rPr>
      <t xml:space="preserve">대 기준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</si>
  <si>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일 생산량 </t>
    </r>
    <r>
      <rPr>
        <b val="true"/>
        <sz val="11"/>
        <color rgb="FFFFFFFF"/>
        <rFont val="Malgun Gothic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대</t>
    </r>
    <r>
      <rPr>
        <b val="true"/>
        <sz val="11"/>
        <color rgb="FFFFFFFF"/>
        <rFont val="Malgun Gothic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</si>
  <si>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아마추어 라인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병렬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대 후</t>
    </r>
    <r>
      <rPr>
        <sz val="10"/>
        <rFont val="Malgun Gothic"/>
        <family val="0"/>
        <charset val="1"/>
      </rPr>
      <t xml:space="preserve">)</t>
    </r>
  </si>
  <si>
    <t xml:space="preserve">OP-A40 Needle Winding</t>
  </si>
  <si>
    <r>
      <rPr>
        <sz val="10"/>
        <rFont val="Malgun Gothic"/>
        <family val="0"/>
        <charset val="1"/>
      </rPr>
      <t xml:space="preserve">OP-B110 </t>
    </r>
    <r>
      <rPr>
        <sz val="10"/>
        <rFont val="Noto Sans CJK SC"/>
        <family val="2"/>
      </rPr>
      <t xml:space="preserve">성능시험</t>
    </r>
  </si>
  <si>
    <r>
      <rPr>
        <b val="true"/>
        <sz val="10"/>
        <rFont val="Noto Sans CJK SC"/>
        <family val="2"/>
      </rPr>
      <t xml:space="preserve">라인 통합 </t>
    </r>
    <r>
      <rPr>
        <b val="true"/>
        <sz val="10"/>
        <rFont val="Malgun Gothic"/>
        <family val="0"/>
        <charset val="1"/>
      </rPr>
      <t xml:space="preserve">(Min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Malgun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</si>
  <si>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Malgun Gothic"/>
        <family val="0"/>
        <charset val="1"/>
      </rPr>
      <t xml:space="preserve">UPH</t>
    </r>
  </si>
  <si>
    <t xml:space="preserve">목표 대비 달성률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</si>
</sst>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#,##0.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algun Gothic"/>
      <family val="0"/>
      <charset val="1"/>
    </font>
    <font>
      <sz val="11"/>
      <color theme="1"/>
      <name val="Noto Sans CJK SC"/>
      <family val="2"/>
    </font>
    <font>
      <b val="true"/>
      <sz val="10"/>
      <name val="Noto Sans CJK SC"/>
      <family val="2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Malgun Gothic"/>
      <family val="0"/>
      <charset val="1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b val="true"/>
      <sz val="14"/>
      <color rgb="FFFFFFFF"/>
      <name val="Noto Sans CJK SC"/>
      <family val="2"/>
    </font>
    <font>
      <sz val="10"/>
      <color rgb="FF0000FF"/>
      <name val="Malgun Gothic"/>
      <family val="0"/>
      <charset val="1"/>
    </font>
    <font>
      <sz val="10"/>
      <color rgb="FF008000"/>
      <name val="Malgun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D9E1F2"/>
        <bgColor rgb="FFE4DFEC"/>
      </patternFill>
    </fill>
    <fill>
      <patternFill patternType="solid">
        <fgColor rgb="FF305496"/>
        <bgColor rgb="FF1F4E78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4" min="3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7.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7" customFormat="false" ht="15" hidden="false" customHeight="false" outlineLevel="0" collapsed="false">
      <c r="A7" s="2" t="s">
        <v>9</v>
      </c>
      <c r="B7" s="2" t="s">
        <v>10</v>
      </c>
    </row>
    <row r="9" customFormat="false" ht="15" hidden="false" customHeight="false" outlineLevel="0" collapsed="false">
      <c r="A9" s="3" t="s">
        <v>11</v>
      </c>
    </row>
    <row r="10" customFormat="false" ht="17.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6" t="s">
        <v>14</v>
      </c>
      <c r="B11" s="7" t="s">
        <v>15</v>
      </c>
    </row>
    <row r="12" customFormat="false" ht="15" hidden="false" customHeight="false" outlineLevel="0" collapsed="false">
      <c r="A12" s="6" t="s">
        <v>16</v>
      </c>
      <c r="B12" s="7" t="s">
        <v>17</v>
      </c>
    </row>
    <row r="13" customFormat="false" ht="15" hidden="false" customHeight="false" outlineLevel="0" collapsed="false">
      <c r="A13" s="6" t="s">
        <v>18</v>
      </c>
      <c r="B13" s="7" t="s">
        <v>19</v>
      </c>
    </row>
    <row r="14" customFormat="false" ht="15" hidden="false" customHeight="false" outlineLevel="0" collapsed="false">
      <c r="A14" s="6" t="s">
        <v>20</v>
      </c>
      <c r="B14" s="6" t="s">
        <v>21</v>
      </c>
    </row>
    <row r="15" customFormat="false" ht="15" hidden="false" customHeight="false" outlineLevel="0" collapsed="false">
      <c r="A15" s="6" t="s">
        <v>22</v>
      </c>
      <c r="B15" s="6" t="s">
        <v>23</v>
      </c>
    </row>
    <row r="16" customFormat="false" ht="15" hidden="false" customHeight="false" outlineLevel="0" collapsed="false">
      <c r="A16" s="6" t="s">
        <v>24</v>
      </c>
      <c r="B16" s="6" t="s">
        <v>25</v>
      </c>
    </row>
    <row r="17" customFormat="false" ht="15" hidden="false" customHeight="false" outlineLevel="0" collapsed="false">
      <c r="A17" s="6" t="s">
        <v>26</v>
      </c>
      <c r="B17" s="6" t="s">
        <v>27</v>
      </c>
    </row>
    <row r="18" customFormat="false" ht="15" hidden="false" customHeight="false" outlineLevel="0" collapsed="false">
      <c r="A18" s="6" t="s">
        <v>28</v>
      </c>
      <c r="B18" s="6" t="s">
        <v>29</v>
      </c>
    </row>
    <row r="19" customFormat="false" ht="15" hidden="false" customHeight="false" outlineLevel="0" collapsed="false">
      <c r="A19" s="6" t="s">
        <v>30</v>
      </c>
      <c r="B19" s="7" t="s">
        <v>31</v>
      </c>
    </row>
    <row r="20" customFormat="false" ht="15" hidden="false" customHeight="false" outlineLevel="0" collapsed="false">
      <c r="A20" s="6" t="s">
        <v>32</v>
      </c>
      <c r="B20" s="7" t="s">
        <v>33</v>
      </c>
    </row>
    <row r="21" customFormat="false" ht="15" hidden="false" customHeight="false" outlineLevel="0" collapsed="false">
      <c r="A21" s="6" t="s">
        <v>34</v>
      </c>
      <c r="B21" s="7" t="s">
        <v>35</v>
      </c>
    </row>
    <row r="22" customFormat="false" ht="15" hidden="false" customHeight="false" outlineLevel="0" collapsed="false">
      <c r="A22" s="6" t="s">
        <v>36</v>
      </c>
      <c r="B22" s="7" t="s">
        <v>37</v>
      </c>
    </row>
    <row r="25" customFormat="false" ht="15" hidden="false" customHeight="false" outlineLevel="0" collapsed="false">
      <c r="A25" s="3" t="s">
        <v>38</v>
      </c>
    </row>
    <row r="26" customFormat="false" ht="15" hidden="false" customHeight="false" outlineLevel="0" collapsed="false">
      <c r="A26" s="8" t="s">
        <v>39</v>
      </c>
      <c r="B26" s="9" t="s">
        <v>40</v>
      </c>
    </row>
    <row r="27" customFormat="false" ht="15" hidden="false" customHeight="false" outlineLevel="0" collapsed="false">
      <c r="A27" s="9" t="s">
        <v>41</v>
      </c>
      <c r="B27" s="9" t="s">
        <v>42</v>
      </c>
    </row>
    <row r="28" customFormat="false" ht="15" hidden="false" customHeight="false" outlineLevel="0" collapsed="false">
      <c r="A28" s="10" t="s">
        <v>43</v>
      </c>
      <c r="B28" s="9" t="s">
        <v>44</v>
      </c>
    </row>
    <row r="29" customFormat="false" ht="15" hidden="false" customHeight="false" outlineLevel="0" collapsed="false">
      <c r="A29" s="11" t="s">
        <v>45</v>
      </c>
      <c r="B29" s="12" t="s">
        <v>46</v>
      </c>
    </row>
    <row r="30" customFormat="false" ht="15" hidden="false" customHeight="false" outlineLevel="0" collapsed="false">
      <c r="A30" s="13" t="s">
        <v>47</v>
      </c>
      <c r="B30" s="9" t="s">
        <v>48</v>
      </c>
    </row>
    <row r="31" customFormat="false" ht="15" hidden="false" customHeight="false" outlineLevel="0" collapsed="false">
      <c r="A31" s="14" t="s">
        <v>49</v>
      </c>
      <c r="B31" s="9" t="s">
        <v>50</v>
      </c>
    </row>
    <row r="32" customFormat="false" ht="15" hidden="false" customHeight="false" outlineLevel="0" collapsed="false">
      <c r="A32" s="15" t="s">
        <v>51</v>
      </c>
      <c r="B32" s="9" t="s">
        <v>52</v>
      </c>
    </row>
    <row r="33" customFormat="false" ht="15" hidden="false" customHeight="false" outlineLevel="0" collapsed="false">
      <c r="A33" s="16" t="s">
        <v>53</v>
      </c>
      <c r="B33" s="9" t="s">
        <v>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1" t="s">
        <v>55</v>
      </c>
      <c r="B1" s="1"/>
      <c r="C1" s="1"/>
    </row>
    <row r="3" customFormat="false" ht="17.15" hidden="false" customHeight="false" outlineLevel="0" collapsed="false">
      <c r="A3" s="5" t="s">
        <v>56</v>
      </c>
      <c r="B3" s="5" t="s">
        <v>57</v>
      </c>
      <c r="C3" s="5" t="s">
        <v>58</v>
      </c>
    </row>
    <row r="4" customFormat="false" ht="15" hidden="false" customHeight="false" outlineLevel="0" collapsed="false">
      <c r="A4" s="7" t="s">
        <v>59</v>
      </c>
      <c r="B4" s="6" t="s">
        <v>4</v>
      </c>
      <c r="C4" s="7" t="s">
        <v>60</v>
      </c>
    </row>
    <row r="5" customFormat="false" ht="15" hidden="false" customHeight="false" outlineLevel="0" collapsed="false">
      <c r="A5" s="7" t="s">
        <v>61</v>
      </c>
      <c r="B5" s="6" t="s">
        <v>62</v>
      </c>
      <c r="C5" s="6"/>
    </row>
    <row r="6" customFormat="false" ht="15" hidden="false" customHeight="false" outlineLevel="0" collapsed="false">
      <c r="A6" s="7" t="s">
        <v>63</v>
      </c>
      <c r="B6" s="6" t="s">
        <v>64</v>
      </c>
      <c r="C6" s="6"/>
    </row>
    <row r="7" customFormat="false" ht="15" hidden="false" customHeight="false" outlineLevel="0" collapsed="false">
      <c r="A7" s="7" t="s">
        <v>65</v>
      </c>
      <c r="B7" s="6" t="s">
        <v>66</v>
      </c>
      <c r="C7" s="6"/>
    </row>
    <row r="8" customFormat="false" ht="15" hidden="false" customHeight="false" outlineLevel="0" collapsed="false">
      <c r="A8" s="7" t="s">
        <v>67</v>
      </c>
      <c r="B8" s="6" t="s">
        <v>68</v>
      </c>
      <c r="C8" s="6"/>
    </row>
    <row r="9" customFormat="false" ht="15" hidden="false" customHeight="false" outlineLevel="0" collapsed="false">
      <c r="A9" s="7" t="s">
        <v>69</v>
      </c>
      <c r="B9" s="6" t="s">
        <v>70</v>
      </c>
      <c r="C9" s="6"/>
    </row>
    <row r="10" customFormat="false" ht="15" hidden="false" customHeight="false" outlineLevel="0" collapsed="false">
      <c r="A10" s="7" t="s">
        <v>71</v>
      </c>
      <c r="B10" s="7" t="s">
        <v>72</v>
      </c>
      <c r="C10" s="6"/>
    </row>
    <row r="11" customFormat="false" ht="15" hidden="false" customHeight="false" outlineLevel="0" collapsed="false">
      <c r="A11" s="7" t="s">
        <v>73</v>
      </c>
      <c r="B11" s="6" t="s">
        <v>74</v>
      </c>
      <c r="C11" s="6"/>
    </row>
    <row r="12" customFormat="false" ht="15" hidden="false" customHeight="false" outlineLevel="0" collapsed="false">
      <c r="A12" s="7" t="s">
        <v>75</v>
      </c>
      <c r="B12" s="7" t="s">
        <v>76</v>
      </c>
      <c r="C12" s="6"/>
    </row>
    <row r="13" customFormat="false" ht="15" hidden="false" customHeight="false" outlineLevel="0" collapsed="false">
      <c r="A13" s="7" t="s">
        <v>77</v>
      </c>
      <c r="B13" s="6" t="s">
        <v>4</v>
      </c>
      <c r="C13" s="6" t="s">
        <v>78</v>
      </c>
    </row>
    <row r="14" customFormat="false" ht="15" hidden="false" customHeight="false" outlineLevel="0" collapsed="false">
      <c r="A14" s="7" t="s">
        <v>79</v>
      </c>
      <c r="B14" s="6" t="n">
        <v>9</v>
      </c>
      <c r="C14" s="6" t="s">
        <v>80</v>
      </c>
    </row>
    <row r="15" customFormat="false" ht="15" hidden="false" customHeight="false" outlineLevel="0" collapsed="false">
      <c r="A15" s="7" t="s">
        <v>81</v>
      </c>
      <c r="B15" s="6" t="n">
        <v>22</v>
      </c>
      <c r="C15" s="7" t="s">
        <v>82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2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</row>
    <row r="3" customFormat="false" ht="17.15" hidden="false" customHeight="false" outlineLevel="0" collapsed="false">
      <c r="A3" s="4" t="s">
        <v>84</v>
      </c>
      <c r="B3" s="5" t="s">
        <v>85</v>
      </c>
      <c r="C3" s="5" t="s">
        <v>86</v>
      </c>
      <c r="D3" s="5" t="s">
        <v>87</v>
      </c>
      <c r="E3" s="5" t="s">
        <v>88</v>
      </c>
      <c r="F3" s="4" t="s">
        <v>89</v>
      </c>
      <c r="G3" s="5" t="s">
        <v>58</v>
      </c>
    </row>
    <row r="4" customFormat="false" ht="15" hidden="false" customHeight="false" outlineLevel="0" collapsed="false">
      <c r="A4" s="17" t="s">
        <v>90</v>
      </c>
      <c r="B4" s="6" t="s">
        <v>91</v>
      </c>
      <c r="C4" s="17" t="n">
        <v>1</v>
      </c>
      <c r="D4" s="17" t="s">
        <v>92</v>
      </c>
      <c r="E4" s="7" t="s">
        <v>93</v>
      </c>
      <c r="F4" s="6" t="s">
        <v>20</v>
      </c>
      <c r="G4" s="7" t="s">
        <v>94</v>
      </c>
    </row>
    <row r="5" customFormat="false" ht="15" hidden="false" customHeight="false" outlineLevel="0" collapsed="false">
      <c r="A5" s="17" t="s">
        <v>95</v>
      </c>
      <c r="B5" s="6" t="s">
        <v>96</v>
      </c>
      <c r="C5" s="17" t="n">
        <v>1</v>
      </c>
      <c r="D5" s="17" t="s">
        <v>92</v>
      </c>
      <c r="E5" s="7" t="s">
        <v>97</v>
      </c>
      <c r="F5" s="6" t="s">
        <v>22</v>
      </c>
      <c r="G5" s="7" t="s">
        <v>98</v>
      </c>
    </row>
    <row r="6" customFormat="false" ht="15" hidden="false" customHeight="false" outlineLevel="0" collapsed="false">
      <c r="A6" s="17" t="s">
        <v>99</v>
      </c>
      <c r="B6" s="6" t="s">
        <v>100</v>
      </c>
      <c r="C6" s="17" t="n">
        <v>1</v>
      </c>
      <c r="D6" s="17" t="s">
        <v>92</v>
      </c>
      <c r="E6" s="7" t="s">
        <v>101</v>
      </c>
      <c r="F6" s="6" t="s">
        <v>24</v>
      </c>
      <c r="G6" s="7" t="s">
        <v>102</v>
      </c>
    </row>
    <row r="7" customFormat="false" ht="15" hidden="false" customHeight="false" outlineLevel="0" collapsed="false">
      <c r="A7" s="17" t="s">
        <v>103</v>
      </c>
      <c r="B7" s="6" t="s">
        <v>104</v>
      </c>
      <c r="C7" s="17" t="n">
        <v>1</v>
      </c>
      <c r="D7" s="17" t="s">
        <v>92</v>
      </c>
      <c r="E7" s="7" t="s">
        <v>101</v>
      </c>
      <c r="F7" s="6" t="s">
        <v>26</v>
      </c>
      <c r="G7" s="7" t="s">
        <v>105</v>
      </c>
    </row>
    <row r="8" customFormat="false" ht="15" hidden="false" customHeight="false" outlineLevel="0" collapsed="false">
      <c r="A8" s="17" t="s">
        <v>106</v>
      </c>
      <c r="B8" s="6" t="s">
        <v>107</v>
      </c>
      <c r="C8" s="17" t="n">
        <v>1</v>
      </c>
      <c r="D8" s="17" t="s">
        <v>92</v>
      </c>
      <c r="E8" s="7" t="s">
        <v>108</v>
      </c>
      <c r="F8" s="6" t="s">
        <v>28</v>
      </c>
      <c r="G8" s="7" t="s">
        <v>109</v>
      </c>
    </row>
    <row r="9" customFormat="false" ht="15" hidden="false" customHeight="false" outlineLevel="0" collapsed="false">
      <c r="A9" s="17" t="s">
        <v>110</v>
      </c>
      <c r="B9" s="6" t="s">
        <v>111</v>
      </c>
      <c r="C9" s="17" t="n">
        <v>1</v>
      </c>
      <c r="D9" s="17" t="s">
        <v>92</v>
      </c>
      <c r="E9" s="7" t="s">
        <v>108</v>
      </c>
      <c r="F9" s="6" t="s">
        <v>28</v>
      </c>
      <c r="G9" s="7" t="s">
        <v>112</v>
      </c>
    </row>
    <row r="10" customFormat="false" ht="15" hidden="false" customHeight="false" outlineLevel="0" collapsed="false">
      <c r="A10" s="17" t="s">
        <v>113</v>
      </c>
      <c r="B10" s="6" t="s">
        <v>114</v>
      </c>
      <c r="C10" s="17" t="n">
        <v>1</v>
      </c>
      <c r="D10" s="17" t="s">
        <v>92</v>
      </c>
      <c r="E10" s="7" t="s">
        <v>115</v>
      </c>
      <c r="F10" s="6" t="s">
        <v>28</v>
      </c>
      <c r="G10" s="7" t="s">
        <v>116</v>
      </c>
    </row>
    <row r="11" customFormat="false" ht="15" hidden="false" customHeight="false" outlineLevel="0" collapsed="false">
      <c r="A11" s="17" t="s">
        <v>117</v>
      </c>
      <c r="B11" s="6" t="s">
        <v>118</v>
      </c>
      <c r="C11" s="17" t="n">
        <v>1</v>
      </c>
      <c r="D11" s="17" t="s">
        <v>92</v>
      </c>
      <c r="E11" s="7" t="s">
        <v>119</v>
      </c>
      <c r="F11" s="6" t="s">
        <v>28</v>
      </c>
      <c r="G11" s="7" t="s">
        <v>120</v>
      </c>
    </row>
    <row r="12" customFormat="false" ht="15" hidden="false" customHeight="false" outlineLevel="0" collapsed="false">
      <c r="A12" s="17" t="s">
        <v>121</v>
      </c>
      <c r="B12" s="6" t="s">
        <v>122</v>
      </c>
      <c r="C12" s="17" t="n">
        <v>1</v>
      </c>
      <c r="D12" s="17" t="s">
        <v>123</v>
      </c>
      <c r="E12" s="7" t="s">
        <v>101</v>
      </c>
      <c r="F12" s="6" t="s">
        <v>24</v>
      </c>
      <c r="G12" s="7" t="s">
        <v>124</v>
      </c>
    </row>
    <row r="13" customFormat="false" ht="29.85" hidden="false" customHeight="false" outlineLevel="0" collapsed="false">
      <c r="A13" s="18" t="s">
        <v>125</v>
      </c>
      <c r="B13" s="18"/>
      <c r="C13" s="19" t="n">
        <f aca="false">SUM(C4:C12)</f>
        <v>9</v>
      </c>
      <c r="D13" s="18"/>
      <c r="E13" s="18"/>
      <c r="F13" s="18"/>
      <c r="G13" s="1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127</v>
      </c>
      <c r="B2" s="21" t="s">
        <v>90</v>
      </c>
      <c r="D2" s="20" t="s">
        <v>128</v>
      </c>
      <c r="F2" s="22" t="n">
        <f aca="false">03_BOM_L1_SubAssy!C4</f>
        <v>1</v>
      </c>
    </row>
    <row r="3" customFormat="false" ht="17.15" hidden="false" customHeight="false" outlineLevel="0" collapsed="false">
      <c r="A3" s="4" t="s">
        <v>129</v>
      </c>
      <c r="B3" s="4" t="s">
        <v>84</v>
      </c>
      <c r="C3" s="5" t="s">
        <v>85</v>
      </c>
      <c r="D3" s="5" t="s">
        <v>130</v>
      </c>
      <c r="E3" s="4" t="s">
        <v>131</v>
      </c>
      <c r="F3" s="5" t="s">
        <v>87</v>
      </c>
      <c r="G3" s="5" t="s">
        <v>132</v>
      </c>
      <c r="H3" s="5" t="s">
        <v>133</v>
      </c>
      <c r="I3" s="5" t="s">
        <v>58</v>
      </c>
    </row>
    <row r="4" customFormat="false" ht="15" hidden="false" customHeight="false" outlineLevel="0" collapsed="false">
      <c r="A4" s="17" t="s">
        <v>134</v>
      </c>
      <c r="B4" s="17" t="s">
        <v>135</v>
      </c>
      <c r="C4" s="6" t="s">
        <v>136</v>
      </c>
      <c r="D4" s="7" t="s">
        <v>137</v>
      </c>
      <c r="E4" s="17" t="n">
        <v>1</v>
      </c>
      <c r="F4" s="17" t="s">
        <v>92</v>
      </c>
      <c r="G4" s="23" t="n">
        <v>8500</v>
      </c>
      <c r="H4" s="24" t="n">
        <f aca="false">E4*G4</f>
        <v>8500</v>
      </c>
    </row>
    <row r="5" customFormat="false" ht="15" hidden="false" customHeight="false" outlineLevel="0" collapsed="false">
      <c r="A5" s="17" t="s">
        <v>138</v>
      </c>
      <c r="B5" s="17" t="s">
        <v>139</v>
      </c>
      <c r="C5" s="7" t="s">
        <v>140</v>
      </c>
      <c r="D5" s="6" t="s">
        <v>141</v>
      </c>
      <c r="E5" s="17" t="n">
        <v>0.85</v>
      </c>
      <c r="F5" s="17" t="s">
        <v>142</v>
      </c>
      <c r="G5" s="23" t="n">
        <v>2400</v>
      </c>
      <c r="H5" s="24" t="n">
        <f aca="false">E5*G5</f>
        <v>2040</v>
      </c>
    </row>
    <row r="6" customFormat="false" ht="15" hidden="false" customHeight="false" outlineLevel="0" collapsed="false">
      <c r="A6" s="17" t="s">
        <v>134</v>
      </c>
      <c r="B6" s="17" t="s">
        <v>143</v>
      </c>
      <c r="C6" s="6" t="s">
        <v>144</v>
      </c>
      <c r="D6" s="6" t="s">
        <v>145</v>
      </c>
      <c r="E6" s="17" t="n">
        <v>1</v>
      </c>
      <c r="F6" s="17" t="s">
        <v>92</v>
      </c>
      <c r="G6" s="23" t="n">
        <v>850</v>
      </c>
      <c r="H6" s="24" t="n">
        <f aca="false">E6*G6</f>
        <v>850</v>
      </c>
    </row>
    <row r="7" customFormat="false" ht="15" hidden="false" customHeight="false" outlineLevel="0" collapsed="false">
      <c r="A7" s="17" t="s">
        <v>134</v>
      </c>
      <c r="B7" s="17" t="s">
        <v>146</v>
      </c>
      <c r="C7" s="6" t="s">
        <v>147</v>
      </c>
      <c r="D7" s="6" t="s">
        <v>145</v>
      </c>
      <c r="E7" s="17" t="n">
        <v>1</v>
      </c>
      <c r="F7" s="17" t="s">
        <v>92</v>
      </c>
      <c r="G7" s="23" t="n">
        <v>850</v>
      </c>
      <c r="H7" s="24" t="n">
        <f aca="false">E7*G7</f>
        <v>850</v>
      </c>
    </row>
    <row r="8" customFormat="false" ht="15" hidden="false" customHeight="false" outlineLevel="0" collapsed="false">
      <c r="A8" s="17" t="s">
        <v>134</v>
      </c>
      <c r="B8" s="17" t="s">
        <v>148</v>
      </c>
      <c r="C8" s="6" t="s">
        <v>149</v>
      </c>
      <c r="D8" s="7" t="s">
        <v>150</v>
      </c>
      <c r="E8" s="17" t="n">
        <v>180</v>
      </c>
      <c r="F8" s="17" t="s">
        <v>151</v>
      </c>
      <c r="G8" s="23" t="n">
        <v>22</v>
      </c>
      <c r="H8" s="24" t="n">
        <f aca="false">E8*G8</f>
        <v>3960</v>
      </c>
    </row>
    <row r="9" customFormat="false" ht="15" hidden="false" customHeight="false" outlineLevel="0" collapsed="false">
      <c r="A9" s="17" t="s">
        <v>134</v>
      </c>
      <c r="B9" s="17" t="s">
        <v>152</v>
      </c>
      <c r="C9" s="6" t="s">
        <v>153</v>
      </c>
      <c r="D9" s="6" t="s">
        <v>154</v>
      </c>
      <c r="E9" s="17" t="n">
        <v>12</v>
      </c>
      <c r="F9" s="25" t="s">
        <v>155</v>
      </c>
      <c r="G9" s="23" t="n">
        <v>120</v>
      </c>
      <c r="H9" s="24" t="n">
        <f aca="false">E9*G9</f>
        <v>1440</v>
      </c>
    </row>
    <row r="10" customFormat="false" ht="15" hidden="false" customHeight="false" outlineLevel="0" collapsed="false">
      <c r="A10" s="17" t="s">
        <v>134</v>
      </c>
      <c r="B10" s="17" t="s">
        <v>156</v>
      </c>
      <c r="C10" s="6" t="s">
        <v>157</v>
      </c>
      <c r="D10" s="6" t="s">
        <v>158</v>
      </c>
      <c r="E10" s="17" t="n">
        <v>3</v>
      </c>
      <c r="F10" s="17" t="s">
        <v>92</v>
      </c>
      <c r="G10" s="23" t="n">
        <v>320</v>
      </c>
      <c r="H10" s="24" t="n">
        <f aca="false">E10*G10</f>
        <v>960</v>
      </c>
    </row>
    <row r="11" customFormat="false" ht="15" hidden="false" customHeight="false" outlineLevel="0" collapsed="false">
      <c r="A11" s="17" t="s">
        <v>134</v>
      </c>
      <c r="B11" s="17" t="s">
        <v>159</v>
      </c>
      <c r="C11" s="6" t="s">
        <v>160</v>
      </c>
      <c r="D11" s="7" t="s">
        <v>161</v>
      </c>
      <c r="E11" s="17" t="n">
        <v>3</v>
      </c>
      <c r="F11" s="17" t="s">
        <v>92</v>
      </c>
      <c r="G11" s="23" t="n">
        <v>90</v>
      </c>
      <c r="H11" s="24" t="n">
        <f aca="false">E11*G11</f>
        <v>270</v>
      </c>
    </row>
    <row r="12" customFormat="false" ht="15" hidden="false" customHeight="false" outlineLevel="0" collapsed="false">
      <c r="A12" s="17" t="s">
        <v>134</v>
      </c>
      <c r="B12" s="17" t="s">
        <v>162</v>
      </c>
      <c r="C12" s="6" t="s">
        <v>163</v>
      </c>
      <c r="D12" s="7" t="s">
        <v>164</v>
      </c>
      <c r="E12" s="17" t="n">
        <v>15</v>
      </c>
      <c r="F12" s="17" t="s">
        <v>151</v>
      </c>
      <c r="G12" s="23" t="n">
        <v>45</v>
      </c>
      <c r="H12" s="24" t="n">
        <f aca="false">E12*G12</f>
        <v>675</v>
      </c>
    </row>
    <row r="13" customFormat="false" ht="15" hidden="false" customHeight="false" outlineLevel="0" collapsed="false">
      <c r="A13" s="17" t="s">
        <v>134</v>
      </c>
      <c r="B13" s="17" t="s">
        <v>165</v>
      </c>
      <c r="C13" s="6" t="s">
        <v>166</v>
      </c>
      <c r="D13" s="7" t="s">
        <v>167</v>
      </c>
      <c r="E13" s="17" t="n">
        <v>0.5</v>
      </c>
      <c r="F13" s="17" t="s">
        <v>168</v>
      </c>
      <c r="G13" s="23" t="n">
        <v>30</v>
      </c>
      <c r="H13" s="24" t="n">
        <f aca="false">E13*G13</f>
        <v>15</v>
      </c>
    </row>
    <row r="14" customFormat="false" ht="15" hidden="false" customHeight="false" outlineLevel="0" collapsed="false">
      <c r="A14" s="19"/>
      <c r="B14" s="19"/>
      <c r="C14" s="18" t="s">
        <v>169</v>
      </c>
      <c r="D14" s="19"/>
      <c r="E14" s="19"/>
      <c r="F14" s="19"/>
      <c r="G14" s="19"/>
      <c r="H14" s="26" t="n">
        <f aca="false">SUM(H4:H13)</f>
        <v>19560</v>
      </c>
      <c r="I14" s="1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127</v>
      </c>
      <c r="B2" s="21" t="s">
        <v>95</v>
      </c>
      <c r="D2" s="20" t="s">
        <v>128</v>
      </c>
      <c r="F2" s="22" t="n">
        <f aca="false">03_BOM_L1_SubAssy!C5</f>
        <v>1</v>
      </c>
    </row>
    <row r="3" customFormat="false" ht="17.15" hidden="false" customHeight="false" outlineLevel="0" collapsed="false">
      <c r="A3" s="4" t="s">
        <v>129</v>
      </c>
      <c r="B3" s="4" t="s">
        <v>84</v>
      </c>
      <c r="C3" s="5" t="s">
        <v>85</v>
      </c>
      <c r="D3" s="5" t="s">
        <v>130</v>
      </c>
      <c r="E3" s="4" t="s">
        <v>131</v>
      </c>
      <c r="F3" s="5" t="s">
        <v>87</v>
      </c>
      <c r="G3" s="5" t="s">
        <v>132</v>
      </c>
      <c r="H3" s="5" t="s">
        <v>133</v>
      </c>
      <c r="I3" s="5" t="s">
        <v>58</v>
      </c>
    </row>
    <row r="4" customFormat="false" ht="15" hidden="false" customHeight="false" outlineLevel="0" collapsed="false">
      <c r="A4" s="17" t="s">
        <v>134</v>
      </c>
      <c r="B4" s="17" t="s">
        <v>171</v>
      </c>
      <c r="C4" s="6" t="s">
        <v>172</v>
      </c>
      <c r="D4" s="6" t="s">
        <v>173</v>
      </c>
      <c r="E4" s="17" t="n">
        <v>1</v>
      </c>
      <c r="F4" s="17" t="s">
        <v>92</v>
      </c>
      <c r="G4" s="23" t="n">
        <v>4200</v>
      </c>
      <c r="H4" s="24" t="n">
        <f aca="false">E4*G4</f>
        <v>4200</v>
      </c>
    </row>
    <row r="5" customFormat="false" ht="15" hidden="false" customHeight="false" outlineLevel="0" collapsed="false">
      <c r="A5" s="17" t="s">
        <v>134</v>
      </c>
      <c r="B5" s="17" t="s">
        <v>174</v>
      </c>
      <c r="C5" s="6" t="s">
        <v>175</v>
      </c>
      <c r="D5" s="7" t="s">
        <v>176</v>
      </c>
      <c r="E5" s="17" t="n">
        <v>1</v>
      </c>
      <c r="F5" s="17" t="s">
        <v>92</v>
      </c>
      <c r="G5" s="23" t="n">
        <v>3500</v>
      </c>
      <c r="H5" s="24" t="n">
        <f aca="false">E5*G5</f>
        <v>3500</v>
      </c>
    </row>
    <row r="6" customFormat="false" ht="15" hidden="false" customHeight="false" outlineLevel="0" collapsed="false">
      <c r="A6" s="17" t="s">
        <v>134</v>
      </c>
      <c r="B6" s="17" t="s">
        <v>177</v>
      </c>
      <c r="C6" s="6" t="s">
        <v>178</v>
      </c>
      <c r="D6" s="6" t="s">
        <v>179</v>
      </c>
      <c r="E6" s="17" t="n">
        <v>8</v>
      </c>
      <c r="F6" s="17" t="s">
        <v>92</v>
      </c>
      <c r="G6" s="23" t="n">
        <v>1250</v>
      </c>
      <c r="H6" s="24" t="n">
        <f aca="false">E6*G6</f>
        <v>10000</v>
      </c>
    </row>
    <row r="7" customFormat="false" ht="15" hidden="false" customHeight="false" outlineLevel="0" collapsed="false">
      <c r="A7" s="17" t="s">
        <v>134</v>
      </c>
      <c r="B7" s="17" t="s">
        <v>180</v>
      </c>
      <c r="C7" s="6" t="s">
        <v>181</v>
      </c>
      <c r="D7" s="7" t="s">
        <v>182</v>
      </c>
      <c r="E7" s="17" t="n">
        <v>0.5</v>
      </c>
      <c r="F7" s="17" t="s">
        <v>151</v>
      </c>
      <c r="G7" s="23" t="n">
        <v>180</v>
      </c>
      <c r="H7" s="24" t="n">
        <f aca="false">E7*G7</f>
        <v>90</v>
      </c>
    </row>
    <row r="8" customFormat="false" ht="15" hidden="false" customHeight="false" outlineLevel="0" collapsed="false">
      <c r="A8" s="17" t="s">
        <v>134</v>
      </c>
      <c r="B8" s="17" t="s">
        <v>183</v>
      </c>
      <c r="C8" s="6" t="s">
        <v>184</v>
      </c>
      <c r="D8" s="6" t="s">
        <v>185</v>
      </c>
      <c r="E8" s="17" t="n">
        <v>2</v>
      </c>
      <c r="F8" s="17" t="s">
        <v>92</v>
      </c>
      <c r="G8" s="23" t="n">
        <v>50</v>
      </c>
      <c r="H8" s="24" t="n">
        <f aca="false">E8*G8</f>
        <v>100</v>
      </c>
    </row>
    <row r="9" customFormat="false" ht="15" hidden="false" customHeight="false" outlineLevel="0" collapsed="false">
      <c r="A9" s="19"/>
      <c r="B9" s="19"/>
      <c r="C9" s="18" t="s">
        <v>169</v>
      </c>
      <c r="D9" s="19"/>
      <c r="E9" s="19"/>
      <c r="F9" s="19"/>
      <c r="G9" s="19"/>
      <c r="H9" s="26" t="n">
        <f aca="false">SUM(H4:H8)</f>
        <v>17890</v>
      </c>
      <c r="I9" s="1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127</v>
      </c>
      <c r="B2" s="21" t="s">
        <v>99</v>
      </c>
      <c r="D2" s="20" t="s">
        <v>128</v>
      </c>
      <c r="F2" s="22" t="n">
        <f aca="false">03_BOM_L1_SubAssy!C6</f>
        <v>1</v>
      </c>
    </row>
    <row r="3" customFormat="false" ht="17.15" hidden="false" customHeight="false" outlineLevel="0" collapsed="false">
      <c r="A3" s="4" t="s">
        <v>129</v>
      </c>
      <c r="B3" s="4" t="s">
        <v>84</v>
      </c>
      <c r="C3" s="5" t="s">
        <v>85</v>
      </c>
      <c r="D3" s="5" t="s">
        <v>130</v>
      </c>
      <c r="E3" s="4" t="s">
        <v>131</v>
      </c>
      <c r="F3" s="5" t="s">
        <v>87</v>
      </c>
      <c r="G3" s="5" t="s">
        <v>132</v>
      </c>
      <c r="H3" s="5" t="s">
        <v>133</v>
      </c>
      <c r="I3" s="5" t="s">
        <v>58</v>
      </c>
    </row>
    <row r="4" customFormat="false" ht="15" hidden="false" customHeight="false" outlineLevel="0" collapsed="false">
      <c r="A4" s="17" t="s">
        <v>134</v>
      </c>
      <c r="B4" s="17" t="s">
        <v>187</v>
      </c>
      <c r="C4" s="6" t="s">
        <v>188</v>
      </c>
      <c r="D4" s="6" t="s">
        <v>189</v>
      </c>
      <c r="E4" s="17" t="n">
        <v>1</v>
      </c>
      <c r="F4" s="17" t="s">
        <v>92</v>
      </c>
      <c r="G4" s="23" t="n">
        <v>8800</v>
      </c>
      <c r="H4" s="24" t="n">
        <f aca="false">E4*G4</f>
        <v>8800</v>
      </c>
    </row>
    <row r="5" customFormat="false" ht="15" hidden="false" customHeight="false" outlineLevel="0" collapsed="false">
      <c r="A5" s="17" t="s">
        <v>134</v>
      </c>
      <c r="B5" s="17" t="s">
        <v>190</v>
      </c>
      <c r="C5" s="6" t="s">
        <v>191</v>
      </c>
      <c r="D5" s="6" t="s">
        <v>192</v>
      </c>
      <c r="E5" s="17" t="n">
        <v>1</v>
      </c>
      <c r="F5" s="17" t="s">
        <v>92</v>
      </c>
      <c r="G5" s="23" t="n">
        <v>4200</v>
      </c>
      <c r="H5" s="24" t="n">
        <f aca="false">E5*G5</f>
        <v>4200</v>
      </c>
    </row>
    <row r="6" customFormat="false" ht="15" hidden="false" customHeight="false" outlineLevel="0" collapsed="false">
      <c r="A6" s="17" t="s">
        <v>134</v>
      </c>
      <c r="B6" s="17" t="s">
        <v>193</v>
      </c>
      <c r="C6" s="6" t="s">
        <v>194</v>
      </c>
      <c r="D6" s="6" t="s">
        <v>192</v>
      </c>
      <c r="E6" s="17" t="n">
        <v>1</v>
      </c>
      <c r="F6" s="17" t="s">
        <v>92</v>
      </c>
      <c r="G6" s="23" t="n">
        <v>4200</v>
      </c>
      <c r="H6" s="24" t="n">
        <f aca="false">E6*G6</f>
        <v>4200</v>
      </c>
    </row>
    <row r="7" customFormat="false" ht="15" hidden="false" customHeight="false" outlineLevel="0" collapsed="false">
      <c r="A7" s="17" t="s">
        <v>134</v>
      </c>
      <c r="B7" s="17" t="s">
        <v>195</v>
      </c>
      <c r="C7" s="6" t="s">
        <v>196</v>
      </c>
      <c r="D7" s="6" t="s">
        <v>197</v>
      </c>
      <c r="E7" s="17" t="n">
        <v>1</v>
      </c>
      <c r="F7" s="17" t="s">
        <v>92</v>
      </c>
      <c r="G7" s="23" t="n">
        <v>1800</v>
      </c>
      <c r="H7" s="24" t="n">
        <f aca="false">E7*G7</f>
        <v>1800</v>
      </c>
    </row>
    <row r="8" customFormat="false" ht="15" hidden="false" customHeight="false" outlineLevel="0" collapsed="false">
      <c r="A8" s="17" t="s">
        <v>134</v>
      </c>
      <c r="B8" s="17" t="s">
        <v>198</v>
      </c>
      <c r="C8" s="6" t="s">
        <v>199</v>
      </c>
      <c r="D8" s="6" t="s">
        <v>200</v>
      </c>
      <c r="E8" s="17" t="n">
        <v>1</v>
      </c>
      <c r="F8" s="17" t="s">
        <v>92</v>
      </c>
      <c r="G8" s="23" t="n">
        <v>1500</v>
      </c>
      <c r="H8" s="24" t="n">
        <f aca="false">E8*G8</f>
        <v>1500</v>
      </c>
    </row>
    <row r="9" customFormat="false" ht="15" hidden="false" customHeight="false" outlineLevel="0" collapsed="false">
      <c r="A9" s="17" t="s">
        <v>134</v>
      </c>
      <c r="B9" s="17" t="s">
        <v>201</v>
      </c>
      <c r="C9" s="6" t="s">
        <v>202</v>
      </c>
      <c r="D9" s="6" t="s">
        <v>203</v>
      </c>
      <c r="E9" s="17" t="n">
        <v>1</v>
      </c>
      <c r="F9" s="17" t="s">
        <v>92</v>
      </c>
      <c r="G9" s="23" t="n">
        <v>120</v>
      </c>
      <c r="H9" s="24" t="n">
        <f aca="false">E9*G9</f>
        <v>120</v>
      </c>
    </row>
    <row r="10" customFormat="false" ht="15" hidden="false" customHeight="false" outlineLevel="0" collapsed="false">
      <c r="A10" s="17" t="s">
        <v>134</v>
      </c>
      <c r="B10" s="17" t="s">
        <v>204</v>
      </c>
      <c r="C10" s="6" t="s">
        <v>205</v>
      </c>
      <c r="D10" s="6" t="s">
        <v>206</v>
      </c>
      <c r="E10" s="17" t="n">
        <v>8</v>
      </c>
      <c r="F10" s="17" t="s">
        <v>92</v>
      </c>
      <c r="G10" s="23" t="n">
        <v>80</v>
      </c>
      <c r="H10" s="24" t="n">
        <f aca="false">E10*G10</f>
        <v>640</v>
      </c>
    </row>
    <row r="11" customFormat="false" ht="15" hidden="false" customHeight="false" outlineLevel="0" collapsed="false">
      <c r="A11" s="17" t="s">
        <v>134</v>
      </c>
      <c r="B11" s="17" t="s">
        <v>207</v>
      </c>
      <c r="C11" s="6" t="s">
        <v>208</v>
      </c>
      <c r="D11" s="6" t="s">
        <v>209</v>
      </c>
      <c r="E11" s="17" t="n">
        <v>1</v>
      </c>
      <c r="F11" s="17" t="s">
        <v>92</v>
      </c>
      <c r="G11" s="23" t="n">
        <v>250</v>
      </c>
      <c r="H11" s="24" t="n">
        <f aca="false">E11*G11</f>
        <v>250</v>
      </c>
    </row>
    <row r="12" customFormat="false" ht="15" hidden="false" customHeight="false" outlineLevel="0" collapsed="false">
      <c r="A12" s="17" t="s">
        <v>134</v>
      </c>
      <c r="B12" s="17" t="s">
        <v>210</v>
      </c>
      <c r="C12" s="6" t="s">
        <v>211</v>
      </c>
      <c r="D12" s="6" t="s">
        <v>212</v>
      </c>
      <c r="E12" s="17" t="n">
        <v>1</v>
      </c>
      <c r="F12" s="17" t="s">
        <v>92</v>
      </c>
      <c r="G12" s="23" t="n">
        <v>180</v>
      </c>
      <c r="H12" s="24" t="n">
        <f aca="false">E12*G12</f>
        <v>180</v>
      </c>
    </row>
    <row r="13" customFormat="false" ht="15" hidden="false" customHeight="false" outlineLevel="0" collapsed="false">
      <c r="A13" s="17" t="s">
        <v>134</v>
      </c>
      <c r="B13" s="17" t="s">
        <v>213</v>
      </c>
      <c r="C13" s="6" t="s">
        <v>214</v>
      </c>
      <c r="D13" s="6" t="s">
        <v>215</v>
      </c>
      <c r="E13" s="17" t="n">
        <v>1</v>
      </c>
      <c r="F13" s="17" t="s">
        <v>92</v>
      </c>
      <c r="G13" s="23" t="n">
        <v>950</v>
      </c>
      <c r="H13" s="24" t="n">
        <f aca="false">E13*G13</f>
        <v>950</v>
      </c>
    </row>
    <row r="14" customFormat="false" ht="15" hidden="false" customHeight="false" outlineLevel="0" collapsed="false">
      <c r="A14" s="19"/>
      <c r="B14" s="19"/>
      <c r="C14" s="18" t="s">
        <v>169</v>
      </c>
      <c r="D14" s="19"/>
      <c r="E14" s="19"/>
      <c r="F14" s="19"/>
      <c r="G14" s="19"/>
      <c r="H14" s="26" t="n">
        <f aca="false">SUM(H4:H13)</f>
        <v>22640</v>
      </c>
      <c r="I14" s="1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127</v>
      </c>
      <c r="B2" s="21" t="s">
        <v>103</v>
      </c>
      <c r="D2" s="20" t="s">
        <v>128</v>
      </c>
      <c r="F2" s="22" t="n">
        <f aca="false">03_BOM_L1_SubAssy!C7</f>
        <v>1</v>
      </c>
    </row>
    <row r="3" customFormat="false" ht="17.15" hidden="false" customHeight="false" outlineLevel="0" collapsed="false">
      <c r="A3" s="4" t="s">
        <v>129</v>
      </c>
      <c r="B3" s="4" t="s">
        <v>84</v>
      </c>
      <c r="C3" s="5" t="s">
        <v>85</v>
      </c>
      <c r="D3" s="5" t="s">
        <v>130</v>
      </c>
      <c r="E3" s="4" t="s">
        <v>131</v>
      </c>
      <c r="F3" s="5" t="s">
        <v>87</v>
      </c>
      <c r="G3" s="5" t="s">
        <v>132</v>
      </c>
      <c r="H3" s="5" t="s">
        <v>133</v>
      </c>
      <c r="I3" s="5" t="s">
        <v>58</v>
      </c>
    </row>
    <row r="4" customFormat="false" ht="15" hidden="false" customHeight="false" outlineLevel="0" collapsed="false">
      <c r="A4" s="17" t="s">
        <v>134</v>
      </c>
      <c r="B4" s="17" t="s">
        <v>217</v>
      </c>
      <c r="C4" s="6" t="s">
        <v>218</v>
      </c>
      <c r="D4" s="6" t="s">
        <v>219</v>
      </c>
      <c r="E4" s="17" t="n">
        <v>1</v>
      </c>
      <c r="F4" s="17" t="s">
        <v>92</v>
      </c>
      <c r="G4" s="23" t="n">
        <v>6500</v>
      </c>
      <c r="H4" s="24" t="n">
        <f aca="false">E4*G4</f>
        <v>6500</v>
      </c>
    </row>
    <row r="5" customFormat="false" ht="15" hidden="false" customHeight="false" outlineLevel="0" collapsed="false">
      <c r="A5" s="17" t="s">
        <v>134</v>
      </c>
      <c r="B5" s="17" t="s">
        <v>220</v>
      </c>
      <c r="C5" s="6" t="s">
        <v>221</v>
      </c>
      <c r="D5" s="6" t="s">
        <v>222</v>
      </c>
      <c r="E5" s="17" t="n">
        <v>1</v>
      </c>
      <c r="F5" s="17" t="s">
        <v>92</v>
      </c>
      <c r="G5" s="23" t="n">
        <v>1400</v>
      </c>
      <c r="H5" s="24" t="n">
        <f aca="false">E5*G5</f>
        <v>1400</v>
      </c>
    </row>
    <row r="6" customFormat="false" ht="15" hidden="false" customHeight="false" outlineLevel="0" collapsed="false">
      <c r="A6" s="17" t="s">
        <v>134</v>
      </c>
      <c r="B6" s="17" t="s">
        <v>223</v>
      </c>
      <c r="C6" s="6" t="s">
        <v>224</v>
      </c>
      <c r="D6" s="6" t="s">
        <v>225</v>
      </c>
      <c r="E6" s="17" t="n">
        <v>3</v>
      </c>
      <c r="F6" s="17" t="s">
        <v>92</v>
      </c>
      <c r="G6" s="23" t="n">
        <v>320</v>
      </c>
      <c r="H6" s="24" t="n">
        <f aca="false">E6*G6</f>
        <v>960</v>
      </c>
    </row>
    <row r="7" customFormat="false" ht="15" hidden="false" customHeight="false" outlineLevel="0" collapsed="false">
      <c r="A7" s="17" t="s">
        <v>134</v>
      </c>
      <c r="B7" s="17" t="s">
        <v>226</v>
      </c>
      <c r="C7" s="6" t="s">
        <v>227</v>
      </c>
      <c r="D7" s="6" t="s">
        <v>228</v>
      </c>
      <c r="E7" s="17" t="n">
        <v>6</v>
      </c>
      <c r="F7" s="17" t="s">
        <v>92</v>
      </c>
      <c r="G7" s="23" t="n">
        <v>1250</v>
      </c>
      <c r="H7" s="24" t="n">
        <f aca="false">E7*G7</f>
        <v>7500</v>
      </c>
    </row>
    <row r="8" customFormat="false" ht="15" hidden="false" customHeight="false" outlineLevel="0" collapsed="false">
      <c r="A8" s="17" t="s">
        <v>134</v>
      </c>
      <c r="B8" s="17" t="s">
        <v>229</v>
      </c>
      <c r="C8" s="6" t="s">
        <v>230</v>
      </c>
      <c r="D8" s="6" t="s">
        <v>231</v>
      </c>
      <c r="E8" s="17" t="n">
        <v>3</v>
      </c>
      <c r="F8" s="17" t="s">
        <v>92</v>
      </c>
      <c r="G8" s="23" t="n">
        <v>1800</v>
      </c>
      <c r="H8" s="24" t="n">
        <f aca="false">E8*G8</f>
        <v>5400</v>
      </c>
    </row>
    <row r="9" customFormat="false" ht="15" hidden="false" customHeight="false" outlineLevel="0" collapsed="false">
      <c r="A9" s="17" t="s">
        <v>134</v>
      </c>
      <c r="B9" s="17" t="s">
        <v>232</v>
      </c>
      <c r="C9" s="6" t="s">
        <v>233</v>
      </c>
      <c r="D9" s="6" t="s">
        <v>234</v>
      </c>
      <c r="E9" s="17" t="n">
        <v>4</v>
      </c>
      <c r="F9" s="17" t="s">
        <v>92</v>
      </c>
      <c r="G9" s="23" t="n">
        <v>420</v>
      </c>
      <c r="H9" s="24" t="n">
        <f aca="false">E9*G9</f>
        <v>1680</v>
      </c>
    </row>
    <row r="10" customFormat="false" ht="15" hidden="false" customHeight="false" outlineLevel="0" collapsed="false">
      <c r="A10" s="17" t="s">
        <v>134</v>
      </c>
      <c r="B10" s="17" t="s">
        <v>235</v>
      </c>
      <c r="C10" s="6" t="s">
        <v>236</v>
      </c>
      <c r="D10" s="6" t="s">
        <v>237</v>
      </c>
      <c r="E10" s="17" t="n">
        <v>1</v>
      </c>
      <c r="F10" s="17" t="s">
        <v>92</v>
      </c>
      <c r="G10" s="23" t="n">
        <v>1800</v>
      </c>
      <c r="H10" s="24" t="n">
        <f aca="false">E10*G10</f>
        <v>1800</v>
      </c>
    </row>
    <row r="11" customFormat="false" ht="15" hidden="false" customHeight="false" outlineLevel="0" collapsed="false">
      <c r="A11" s="17" t="s">
        <v>134</v>
      </c>
      <c r="B11" s="17" t="s">
        <v>238</v>
      </c>
      <c r="C11" s="6" t="s">
        <v>239</v>
      </c>
      <c r="D11" s="7" t="s">
        <v>240</v>
      </c>
      <c r="E11" s="17" t="n">
        <v>3</v>
      </c>
      <c r="F11" s="17" t="s">
        <v>92</v>
      </c>
      <c r="G11" s="23" t="n">
        <v>550</v>
      </c>
      <c r="H11" s="24" t="n">
        <f aca="false">E11*G11</f>
        <v>1650</v>
      </c>
    </row>
    <row r="12" customFormat="false" ht="15" hidden="false" customHeight="false" outlineLevel="0" collapsed="false">
      <c r="A12" s="17" t="s">
        <v>134</v>
      </c>
      <c r="B12" s="17" t="s">
        <v>241</v>
      </c>
      <c r="C12" s="6" t="s">
        <v>242</v>
      </c>
      <c r="D12" s="6" t="s">
        <v>243</v>
      </c>
      <c r="E12" s="17" t="n">
        <v>1</v>
      </c>
      <c r="F12" s="17" t="s">
        <v>92</v>
      </c>
      <c r="G12" s="23" t="n">
        <v>280</v>
      </c>
      <c r="H12" s="24" t="n">
        <f aca="false">E12*G12</f>
        <v>280</v>
      </c>
    </row>
    <row r="13" customFormat="false" ht="15" hidden="false" customHeight="false" outlineLevel="0" collapsed="false">
      <c r="A13" s="17" t="s">
        <v>134</v>
      </c>
      <c r="B13" s="17" t="s">
        <v>244</v>
      </c>
      <c r="C13" s="6" t="s">
        <v>245</v>
      </c>
      <c r="D13" s="6" t="s">
        <v>246</v>
      </c>
      <c r="E13" s="17" t="n">
        <v>0.5</v>
      </c>
      <c r="F13" s="17" t="s">
        <v>151</v>
      </c>
      <c r="G13" s="23" t="n">
        <v>120</v>
      </c>
      <c r="H13" s="24" t="n">
        <f aca="false">E13*G13</f>
        <v>60</v>
      </c>
    </row>
    <row r="14" customFormat="false" ht="15" hidden="false" customHeight="false" outlineLevel="0" collapsed="false">
      <c r="A14" s="19"/>
      <c r="B14" s="19"/>
      <c r="C14" s="18" t="s">
        <v>169</v>
      </c>
      <c r="D14" s="19"/>
      <c r="E14" s="19"/>
      <c r="F14" s="19"/>
      <c r="G14" s="19"/>
      <c r="H14" s="26" t="n">
        <f aca="false">SUM(H4:H13)</f>
        <v>27230</v>
      </c>
      <c r="I14" s="1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0" t="s">
        <v>127</v>
      </c>
      <c r="B2" s="21" t="s">
        <v>248</v>
      </c>
      <c r="D2" s="20" t="s">
        <v>128</v>
      </c>
      <c r="F2" s="22" t="n">
        <f aca="false">03_BOM_L1_SubAssy!C8+03_BOM_L1_SubAssy!C9+03_BOM_L1_SubAssy!C10+03_BOM_L1_SubAssy!C11</f>
        <v>4</v>
      </c>
    </row>
    <row r="3" customFormat="false" ht="17.15" hidden="false" customHeight="false" outlineLevel="0" collapsed="false">
      <c r="A3" s="4" t="s">
        <v>129</v>
      </c>
      <c r="B3" s="4" t="s">
        <v>84</v>
      </c>
      <c r="C3" s="5" t="s">
        <v>85</v>
      </c>
      <c r="D3" s="5" t="s">
        <v>130</v>
      </c>
      <c r="E3" s="4" t="s">
        <v>131</v>
      </c>
      <c r="F3" s="5" t="s">
        <v>87</v>
      </c>
      <c r="G3" s="5" t="s">
        <v>132</v>
      </c>
      <c r="H3" s="5" t="s">
        <v>133</v>
      </c>
      <c r="I3" s="5" t="s">
        <v>58</v>
      </c>
    </row>
    <row r="4" customFormat="false" ht="15" hidden="false" customHeight="false" outlineLevel="0" collapsed="false">
      <c r="A4" s="17" t="s">
        <v>134</v>
      </c>
      <c r="B4" s="17" t="s">
        <v>106</v>
      </c>
      <c r="C4" s="6" t="s">
        <v>107</v>
      </c>
      <c r="D4" s="6" t="s">
        <v>249</v>
      </c>
      <c r="E4" s="17" t="n">
        <v>1</v>
      </c>
      <c r="F4" s="17" t="s">
        <v>92</v>
      </c>
      <c r="G4" s="23" t="n">
        <v>6800</v>
      </c>
      <c r="H4" s="24" t="n">
        <f aca="false">E4*G4</f>
        <v>6800</v>
      </c>
    </row>
    <row r="5" customFormat="false" ht="15" hidden="false" customHeight="false" outlineLevel="0" collapsed="false">
      <c r="A5" s="17" t="s">
        <v>134</v>
      </c>
      <c r="B5" s="17" t="s">
        <v>110</v>
      </c>
      <c r="C5" s="6" t="s">
        <v>250</v>
      </c>
      <c r="D5" s="6" t="s">
        <v>251</v>
      </c>
      <c r="E5" s="17" t="n">
        <v>1</v>
      </c>
      <c r="F5" s="17" t="s">
        <v>92</v>
      </c>
      <c r="G5" s="23" t="n">
        <v>5400</v>
      </c>
      <c r="H5" s="24" t="n">
        <f aca="false">E5*G5</f>
        <v>5400</v>
      </c>
    </row>
    <row r="6" customFormat="false" ht="28.35" hidden="false" customHeight="false" outlineLevel="0" collapsed="false">
      <c r="A6" s="17" t="s">
        <v>134</v>
      </c>
      <c r="B6" s="17" t="s">
        <v>252</v>
      </c>
      <c r="C6" s="6" t="s">
        <v>253</v>
      </c>
      <c r="D6" s="7" t="s">
        <v>254</v>
      </c>
      <c r="E6" s="17" t="n">
        <v>1</v>
      </c>
      <c r="F6" s="17" t="s">
        <v>92</v>
      </c>
      <c r="G6" s="23" t="n">
        <v>1200</v>
      </c>
      <c r="H6" s="24" t="n">
        <f aca="false">E6*G6</f>
        <v>1200</v>
      </c>
    </row>
    <row r="7" customFormat="false" ht="15" hidden="false" customHeight="false" outlineLevel="0" collapsed="false">
      <c r="A7" s="17" t="s">
        <v>134</v>
      </c>
      <c r="B7" s="17" t="s">
        <v>255</v>
      </c>
      <c r="C7" s="6" t="s">
        <v>256</v>
      </c>
      <c r="D7" s="6" t="s">
        <v>257</v>
      </c>
      <c r="E7" s="17" t="n">
        <v>1</v>
      </c>
      <c r="F7" s="17" t="s">
        <v>92</v>
      </c>
      <c r="G7" s="23" t="n">
        <v>3800</v>
      </c>
      <c r="H7" s="24" t="n">
        <f aca="false">E7*G7</f>
        <v>3800</v>
      </c>
    </row>
    <row r="8" customFormat="false" ht="15" hidden="false" customHeight="false" outlineLevel="0" collapsed="false">
      <c r="A8" s="17" t="s">
        <v>134</v>
      </c>
      <c r="B8" s="17" t="s">
        <v>258</v>
      </c>
      <c r="C8" s="6" t="s">
        <v>259</v>
      </c>
      <c r="D8" s="6" t="s">
        <v>260</v>
      </c>
      <c r="E8" s="17" t="n">
        <v>2</v>
      </c>
      <c r="F8" s="17" t="s">
        <v>92</v>
      </c>
      <c r="G8" s="23" t="n">
        <v>150</v>
      </c>
      <c r="H8" s="24" t="n">
        <f aca="false">E8*G8</f>
        <v>300</v>
      </c>
    </row>
    <row r="9" customFormat="false" ht="15" hidden="false" customHeight="false" outlineLevel="0" collapsed="false">
      <c r="A9" s="17" t="s">
        <v>134</v>
      </c>
      <c r="B9" s="17" t="s">
        <v>261</v>
      </c>
      <c r="C9" s="6" t="s">
        <v>262</v>
      </c>
      <c r="D9" s="6" t="s">
        <v>251</v>
      </c>
      <c r="E9" s="17" t="n">
        <v>1</v>
      </c>
      <c r="F9" s="17" t="s">
        <v>92</v>
      </c>
      <c r="G9" s="23" t="n">
        <v>7200</v>
      </c>
      <c r="H9" s="24" t="n">
        <f aca="false">E9*G9</f>
        <v>7200</v>
      </c>
    </row>
    <row r="10" customFormat="false" ht="15" hidden="false" customHeight="false" outlineLevel="0" collapsed="false">
      <c r="A10" s="17" t="s">
        <v>134</v>
      </c>
      <c r="B10" s="17" t="s">
        <v>263</v>
      </c>
      <c r="C10" s="6" t="s">
        <v>264</v>
      </c>
      <c r="D10" s="6" t="s">
        <v>265</v>
      </c>
      <c r="E10" s="17" t="n">
        <v>1</v>
      </c>
      <c r="F10" s="17" t="s">
        <v>92</v>
      </c>
      <c r="G10" s="23" t="n">
        <v>3200</v>
      </c>
      <c r="H10" s="24" t="n">
        <f aca="false">E10*G10</f>
        <v>3200</v>
      </c>
    </row>
    <row r="11" customFormat="false" ht="15" hidden="false" customHeight="false" outlineLevel="0" collapsed="false">
      <c r="A11" s="17" t="s">
        <v>134</v>
      </c>
      <c r="B11" s="17" t="s">
        <v>266</v>
      </c>
      <c r="C11" s="6" t="s">
        <v>267</v>
      </c>
      <c r="D11" s="6" t="s">
        <v>268</v>
      </c>
      <c r="E11" s="17" t="n">
        <v>1</v>
      </c>
      <c r="F11" s="17" t="s">
        <v>92</v>
      </c>
      <c r="G11" s="23" t="n">
        <v>5400</v>
      </c>
      <c r="H11" s="24" t="n">
        <f aca="false">E11*G11</f>
        <v>5400</v>
      </c>
    </row>
    <row r="12" customFormat="false" ht="15" hidden="false" customHeight="false" outlineLevel="0" collapsed="false">
      <c r="A12" s="17" t="s">
        <v>134</v>
      </c>
      <c r="B12" s="17" t="s">
        <v>269</v>
      </c>
      <c r="C12" s="6" t="s">
        <v>270</v>
      </c>
      <c r="D12" s="6" t="s">
        <v>271</v>
      </c>
      <c r="E12" s="17" t="n">
        <v>2</v>
      </c>
      <c r="F12" s="17" t="s">
        <v>92</v>
      </c>
      <c r="G12" s="23" t="n">
        <v>1900</v>
      </c>
      <c r="H12" s="24" t="n">
        <f aca="false">E12*G12</f>
        <v>3800</v>
      </c>
    </row>
    <row r="13" customFormat="false" ht="15" hidden="false" customHeight="false" outlineLevel="0" collapsed="false">
      <c r="A13" s="17" t="s">
        <v>134</v>
      </c>
      <c r="B13" s="17" t="s">
        <v>272</v>
      </c>
      <c r="C13" s="6" t="s">
        <v>273</v>
      </c>
      <c r="D13" s="7" t="s">
        <v>274</v>
      </c>
      <c r="E13" s="17" t="n">
        <v>25</v>
      </c>
      <c r="F13" s="17" t="s">
        <v>151</v>
      </c>
      <c r="G13" s="23" t="n">
        <v>95</v>
      </c>
      <c r="H13" s="24" t="n">
        <f aca="false">E13*G13</f>
        <v>2375</v>
      </c>
    </row>
    <row r="14" customFormat="false" ht="15" hidden="false" customHeight="false" outlineLevel="0" collapsed="false">
      <c r="A14" s="17" t="s">
        <v>134</v>
      </c>
      <c r="B14" s="17" t="s">
        <v>275</v>
      </c>
      <c r="C14" s="6" t="s">
        <v>276</v>
      </c>
      <c r="D14" s="6" t="s">
        <v>277</v>
      </c>
      <c r="E14" s="17" t="n">
        <v>1</v>
      </c>
      <c r="F14" s="17" t="s">
        <v>92</v>
      </c>
      <c r="G14" s="23" t="n">
        <v>4200</v>
      </c>
      <c r="H14" s="24" t="n">
        <f aca="false">E14*G14</f>
        <v>4200</v>
      </c>
    </row>
    <row r="15" customFormat="false" ht="15" hidden="false" customHeight="false" outlineLevel="0" collapsed="false">
      <c r="A15" s="17" t="s">
        <v>134</v>
      </c>
      <c r="B15" s="17" t="s">
        <v>278</v>
      </c>
      <c r="C15" s="6" t="s">
        <v>279</v>
      </c>
      <c r="D15" s="6" t="s">
        <v>280</v>
      </c>
      <c r="E15" s="17" t="n">
        <v>1</v>
      </c>
      <c r="F15" s="17" t="s">
        <v>92</v>
      </c>
      <c r="G15" s="23" t="n">
        <v>2400</v>
      </c>
      <c r="H15" s="24" t="n">
        <f aca="false">E15*G15</f>
        <v>2400</v>
      </c>
    </row>
    <row r="16" customFormat="false" ht="15" hidden="false" customHeight="false" outlineLevel="0" collapsed="false">
      <c r="A16" s="17" t="s">
        <v>134</v>
      </c>
      <c r="B16" s="17" t="s">
        <v>281</v>
      </c>
      <c r="C16" s="6" t="s">
        <v>282</v>
      </c>
      <c r="D16" s="6" t="s">
        <v>283</v>
      </c>
      <c r="E16" s="17" t="n">
        <v>1</v>
      </c>
      <c r="F16" s="17" t="s">
        <v>92</v>
      </c>
      <c r="G16" s="23" t="n">
        <v>180</v>
      </c>
      <c r="H16" s="24" t="n">
        <f aca="false">E16*G16</f>
        <v>180</v>
      </c>
    </row>
    <row r="17" customFormat="false" ht="15" hidden="false" customHeight="false" outlineLevel="0" collapsed="false">
      <c r="A17" s="17" t="s">
        <v>134</v>
      </c>
      <c r="B17" s="17" t="s">
        <v>284</v>
      </c>
      <c r="C17" s="6" t="s">
        <v>285</v>
      </c>
      <c r="D17" s="7" t="s">
        <v>286</v>
      </c>
      <c r="E17" s="17" t="n">
        <v>1</v>
      </c>
      <c r="F17" s="17" t="s">
        <v>92</v>
      </c>
      <c r="G17" s="23" t="n">
        <v>1450</v>
      </c>
      <c r="H17" s="24" t="n">
        <f aca="false">E17*G17</f>
        <v>1450</v>
      </c>
    </row>
    <row r="18" customFormat="false" ht="15" hidden="false" customHeight="false" outlineLevel="0" collapsed="false">
      <c r="A18" s="19"/>
      <c r="B18" s="19"/>
      <c r="C18" s="18" t="s">
        <v>169</v>
      </c>
      <c r="D18" s="19"/>
      <c r="E18" s="19"/>
      <c r="F18" s="19"/>
      <c r="G18" s="19"/>
      <c r="H18" s="26" t="n">
        <f aca="false">SUM(H4:H17)</f>
        <v>47705</v>
      </c>
      <c r="I18" s="1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25.5" hidden="false" customHeight="true" outlineLevel="0" collapsed="false">
      <c r="A1" s="27" t="s">
        <v>287</v>
      </c>
      <c r="B1" s="27"/>
      <c r="C1" s="27"/>
      <c r="D1" s="27"/>
      <c r="E1" s="27"/>
      <c r="F1" s="27"/>
      <c r="G1" s="27"/>
      <c r="H1" s="27"/>
      <c r="I1" s="27"/>
      <c r="J1" s="27"/>
    </row>
    <row r="3" customFormat="false" ht="32.05" hidden="false" customHeight="false" outlineLevel="0" collapsed="false">
      <c r="A3" s="4" t="s">
        <v>129</v>
      </c>
      <c r="B3" s="5" t="s">
        <v>288</v>
      </c>
      <c r="C3" s="5" t="s">
        <v>289</v>
      </c>
      <c r="D3" s="5" t="s">
        <v>290</v>
      </c>
      <c r="E3" s="5" t="s">
        <v>291</v>
      </c>
      <c r="F3" s="5" t="s">
        <v>130</v>
      </c>
      <c r="G3" s="4" t="s">
        <v>292</v>
      </c>
      <c r="H3" s="4" t="s">
        <v>293</v>
      </c>
      <c r="I3" s="5" t="s">
        <v>294</v>
      </c>
      <c r="J3" s="5" t="s">
        <v>87</v>
      </c>
    </row>
    <row r="4" customFormat="false" ht="15" hidden="false" customHeight="false" outlineLevel="0" collapsed="false">
      <c r="A4" s="17" t="s">
        <v>134</v>
      </c>
      <c r="B4" s="6" t="s">
        <v>295</v>
      </c>
      <c r="C4" s="17" t="s">
        <v>90</v>
      </c>
      <c r="D4" s="17" t="s">
        <v>135</v>
      </c>
      <c r="E4" s="6" t="s">
        <v>296</v>
      </c>
      <c r="F4" s="7" t="s">
        <v>297</v>
      </c>
      <c r="G4" s="28" t="n">
        <v>1</v>
      </c>
      <c r="H4" s="28" t="n">
        <v>1</v>
      </c>
      <c r="I4" s="19" t="n">
        <f aca="false">G4*H4</f>
        <v>1</v>
      </c>
      <c r="J4" s="17" t="s">
        <v>92</v>
      </c>
    </row>
    <row r="5" customFormat="false" ht="15" hidden="false" customHeight="false" outlineLevel="0" collapsed="false">
      <c r="A5" s="17" t="s">
        <v>138</v>
      </c>
      <c r="B5" s="6" t="s">
        <v>295</v>
      </c>
      <c r="C5" s="17" t="s">
        <v>90</v>
      </c>
      <c r="D5" s="17" t="s">
        <v>139</v>
      </c>
      <c r="E5" s="7" t="s">
        <v>140</v>
      </c>
      <c r="F5" s="6" t="s">
        <v>298</v>
      </c>
      <c r="G5" s="28" t="n">
        <v>0.85</v>
      </c>
      <c r="H5" s="28" t="n">
        <v>1</v>
      </c>
      <c r="I5" s="19" t="n">
        <f aca="false">G5*H5</f>
        <v>0.85</v>
      </c>
      <c r="J5" s="17" t="s">
        <v>142</v>
      </c>
    </row>
    <row r="6" customFormat="false" ht="15" hidden="false" customHeight="false" outlineLevel="0" collapsed="false">
      <c r="A6" s="17" t="s">
        <v>134</v>
      </c>
      <c r="B6" s="6" t="s">
        <v>295</v>
      </c>
      <c r="C6" s="17" t="s">
        <v>90</v>
      </c>
      <c r="D6" s="17" t="s">
        <v>143</v>
      </c>
      <c r="E6" s="6" t="s">
        <v>299</v>
      </c>
      <c r="F6" s="6" t="s">
        <v>300</v>
      </c>
      <c r="G6" s="28" t="n">
        <v>1</v>
      </c>
      <c r="H6" s="28" t="n">
        <v>1</v>
      </c>
      <c r="I6" s="19" t="n">
        <f aca="false">G6*H6</f>
        <v>1</v>
      </c>
      <c r="J6" s="17" t="s">
        <v>92</v>
      </c>
    </row>
    <row r="7" customFormat="false" ht="15" hidden="false" customHeight="false" outlineLevel="0" collapsed="false">
      <c r="A7" s="17" t="s">
        <v>134</v>
      </c>
      <c r="B7" s="6" t="s">
        <v>295</v>
      </c>
      <c r="C7" s="17" t="s">
        <v>90</v>
      </c>
      <c r="D7" s="17" t="s">
        <v>146</v>
      </c>
      <c r="E7" s="6" t="s">
        <v>301</v>
      </c>
      <c r="F7" s="6" t="s">
        <v>300</v>
      </c>
      <c r="G7" s="28" t="n">
        <v>1</v>
      </c>
      <c r="H7" s="28" t="n">
        <v>1</v>
      </c>
      <c r="I7" s="19" t="n">
        <f aca="false">G7*H7</f>
        <v>1</v>
      </c>
      <c r="J7" s="17" t="s">
        <v>92</v>
      </c>
    </row>
    <row r="8" customFormat="false" ht="15" hidden="false" customHeight="false" outlineLevel="0" collapsed="false">
      <c r="A8" s="17" t="s">
        <v>134</v>
      </c>
      <c r="B8" s="6" t="s">
        <v>295</v>
      </c>
      <c r="C8" s="17" t="s">
        <v>90</v>
      </c>
      <c r="D8" s="17" t="s">
        <v>148</v>
      </c>
      <c r="E8" s="6" t="s">
        <v>149</v>
      </c>
      <c r="F8" s="7" t="s">
        <v>302</v>
      </c>
      <c r="G8" s="28" t="n">
        <v>180</v>
      </c>
      <c r="H8" s="28" t="n">
        <v>1</v>
      </c>
      <c r="I8" s="19" t="n">
        <f aca="false">G8*H8</f>
        <v>180</v>
      </c>
      <c r="J8" s="17" t="s">
        <v>151</v>
      </c>
    </row>
    <row r="9" customFormat="false" ht="15" hidden="false" customHeight="false" outlineLevel="0" collapsed="false">
      <c r="A9" s="17" t="s">
        <v>134</v>
      </c>
      <c r="B9" s="6" t="s">
        <v>295</v>
      </c>
      <c r="C9" s="17" t="s">
        <v>90</v>
      </c>
      <c r="D9" s="17" t="s">
        <v>152</v>
      </c>
      <c r="E9" s="6" t="s">
        <v>153</v>
      </c>
      <c r="F9" s="6" t="s">
        <v>303</v>
      </c>
      <c r="G9" s="28" t="n">
        <v>12</v>
      </c>
      <c r="H9" s="28" t="n">
        <v>1</v>
      </c>
      <c r="I9" s="19" t="n">
        <f aca="false">G9*H9</f>
        <v>12</v>
      </c>
      <c r="J9" s="25" t="s">
        <v>155</v>
      </c>
    </row>
    <row r="10" customFormat="false" ht="15" hidden="false" customHeight="false" outlineLevel="0" collapsed="false">
      <c r="A10" s="17" t="s">
        <v>134</v>
      </c>
      <c r="B10" s="6" t="s">
        <v>295</v>
      </c>
      <c r="C10" s="17" t="s">
        <v>90</v>
      </c>
      <c r="D10" s="17" t="s">
        <v>156</v>
      </c>
      <c r="E10" s="6" t="s">
        <v>157</v>
      </c>
      <c r="F10" s="6" t="s">
        <v>304</v>
      </c>
      <c r="G10" s="28" t="n">
        <v>3</v>
      </c>
      <c r="H10" s="28" t="n">
        <v>1</v>
      </c>
      <c r="I10" s="19" t="n">
        <f aca="false">G10*H10</f>
        <v>3</v>
      </c>
      <c r="J10" s="17" t="s">
        <v>92</v>
      </c>
    </row>
    <row r="11" customFormat="false" ht="15" hidden="false" customHeight="false" outlineLevel="0" collapsed="false">
      <c r="A11" s="17" t="s">
        <v>134</v>
      </c>
      <c r="B11" s="6" t="s">
        <v>295</v>
      </c>
      <c r="C11" s="17" t="s">
        <v>90</v>
      </c>
      <c r="D11" s="17" t="s">
        <v>159</v>
      </c>
      <c r="E11" s="6" t="s">
        <v>160</v>
      </c>
      <c r="F11" s="6" t="s">
        <v>305</v>
      </c>
      <c r="G11" s="28" t="n">
        <v>3</v>
      </c>
      <c r="H11" s="28" t="n">
        <v>1</v>
      </c>
      <c r="I11" s="19" t="n">
        <f aca="false">G11*H11</f>
        <v>3</v>
      </c>
      <c r="J11" s="17" t="s">
        <v>92</v>
      </c>
    </row>
    <row r="12" customFormat="false" ht="15" hidden="false" customHeight="false" outlineLevel="0" collapsed="false">
      <c r="A12" s="17" t="s">
        <v>134</v>
      </c>
      <c r="B12" s="6" t="s">
        <v>295</v>
      </c>
      <c r="C12" s="17" t="s">
        <v>90</v>
      </c>
      <c r="D12" s="17" t="s">
        <v>162</v>
      </c>
      <c r="E12" s="6" t="s">
        <v>163</v>
      </c>
      <c r="F12" s="7" t="s">
        <v>306</v>
      </c>
      <c r="G12" s="28" t="n">
        <v>15</v>
      </c>
      <c r="H12" s="28" t="n">
        <v>1</v>
      </c>
      <c r="I12" s="19" t="n">
        <f aca="false">G12*H12</f>
        <v>15</v>
      </c>
      <c r="J12" s="17" t="s">
        <v>151</v>
      </c>
    </row>
    <row r="13" customFormat="false" ht="15" hidden="false" customHeight="false" outlineLevel="0" collapsed="false">
      <c r="A13" s="17" t="s">
        <v>134</v>
      </c>
      <c r="B13" s="6" t="s">
        <v>295</v>
      </c>
      <c r="C13" s="17" t="s">
        <v>90</v>
      </c>
      <c r="D13" s="17" t="s">
        <v>165</v>
      </c>
      <c r="E13" s="6" t="s">
        <v>166</v>
      </c>
      <c r="F13" s="7" t="s">
        <v>307</v>
      </c>
      <c r="G13" s="28" t="n">
        <v>0.5</v>
      </c>
      <c r="H13" s="28" t="n">
        <v>1</v>
      </c>
      <c r="I13" s="19" t="n">
        <f aca="false">G13*H13</f>
        <v>0.5</v>
      </c>
      <c r="J13" s="17" t="s">
        <v>168</v>
      </c>
    </row>
    <row r="14" customFormat="false" ht="15" hidden="false" customHeight="false" outlineLevel="0" collapsed="false">
      <c r="A14" s="17" t="s">
        <v>134</v>
      </c>
      <c r="B14" s="6" t="s">
        <v>96</v>
      </c>
      <c r="C14" s="17" t="s">
        <v>95</v>
      </c>
      <c r="D14" s="17" t="s">
        <v>171</v>
      </c>
      <c r="E14" s="6" t="s">
        <v>172</v>
      </c>
      <c r="F14" s="6" t="s">
        <v>308</v>
      </c>
      <c r="G14" s="28" t="n">
        <v>1</v>
      </c>
      <c r="H14" s="28" t="n">
        <v>1</v>
      </c>
      <c r="I14" s="19" t="n">
        <f aca="false">G14*H14</f>
        <v>1</v>
      </c>
      <c r="J14" s="17" t="s">
        <v>92</v>
      </c>
    </row>
    <row r="15" customFormat="false" ht="15" hidden="false" customHeight="false" outlineLevel="0" collapsed="false">
      <c r="A15" s="17" t="s">
        <v>134</v>
      </c>
      <c r="B15" s="6" t="s">
        <v>96</v>
      </c>
      <c r="C15" s="17" t="s">
        <v>95</v>
      </c>
      <c r="D15" s="17" t="s">
        <v>174</v>
      </c>
      <c r="E15" s="6" t="s">
        <v>175</v>
      </c>
      <c r="F15" s="7" t="s">
        <v>309</v>
      </c>
      <c r="G15" s="28" t="n">
        <v>1</v>
      </c>
      <c r="H15" s="28" t="n">
        <v>1</v>
      </c>
      <c r="I15" s="19" t="n">
        <f aca="false">G15*H15</f>
        <v>1</v>
      </c>
      <c r="J15" s="17" t="s">
        <v>92</v>
      </c>
    </row>
    <row r="16" customFormat="false" ht="15" hidden="false" customHeight="false" outlineLevel="0" collapsed="false">
      <c r="A16" s="17" t="s">
        <v>134</v>
      </c>
      <c r="B16" s="6" t="s">
        <v>96</v>
      </c>
      <c r="C16" s="17" t="s">
        <v>95</v>
      </c>
      <c r="D16" s="17" t="s">
        <v>177</v>
      </c>
      <c r="E16" s="6" t="s">
        <v>178</v>
      </c>
      <c r="F16" s="6" t="s">
        <v>310</v>
      </c>
      <c r="G16" s="28" t="n">
        <v>8</v>
      </c>
      <c r="H16" s="28" t="n">
        <v>1</v>
      </c>
      <c r="I16" s="19" t="n">
        <f aca="false">G16*H16</f>
        <v>8</v>
      </c>
      <c r="J16" s="17" t="s">
        <v>92</v>
      </c>
    </row>
    <row r="17" customFormat="false" ht="15" hidden="false" customHeight="false" outlineLevel="0" collapsed="false">
      <c r="A17" s="17" t="s">
        <v>134</v>
      </c>
      <c r="B17" s="6" t="s">
        <v>96</v>
      </c>
      <c r="C17" s="17" t="s">
        <v>95</v>
      </c>
      <c r="D17" s="17" t="s">
        <v>180</v>
      </c>
      <c r="E17" s="6" t="s">
        <v>181</v>
      </c>
      <c r="F17" s="7" t="s">
        <v>182</v>
      </c>
      <c r="G17" s="28" t="n">
        <v>0.5</v>
      </c>
      <c r="H17" s="28" t="n">
        <v>1</v>
      </c>
      <c r="I17" s="19" t="n">
        <f aca="false">G17*H17</f>
        <v>0.5</v>
      </c>
      <c r="J17" s="17" t="s">
        <v>151</v>
      </c>
    </row>
    <row r="18" customFormat="false" ht="15" hidden="false" customHeight="false" outlineLevel="0" collapsed="false">
      <c r="A18" s="17" t="s">
        <v>134</v>
      </c>
      <c r="B18" s="6" t="s">
        <v>96</v>
      </c>
      <c r="C18" s="17" t="s">
        <v>95</v>
      </c>
      <c r="D18" s="17" t="s">
        <v>183</v>
      </c>
      <c r="E18" s="6" t="s">
        <v>184</v>
      </c>
      <c r="F18" s="6" t="s">
        <v>311</v>
      </c>
      <c r="G18" s="28" t="n">
        <v>2</v>
      </c>
      <c r="H18" s="28" t="n">
        <v>1</v>
      </c>
      <c r="I18" s="19" t="n">
        <f aca="false">G18*H18</f>
        <v>2</v>
      </c>
      <c r="J18" s="17" t="s">
        <v>92</v>
      </c>
    </row>
    <row r="19" customFormat="false" ht="28.35" hidden="false" customHeight="false" outlineLevel="0" collapsed="false">
      <c r="A19" s="17" t="s">
        <v>134</v>
      </c>
      <c r="B19" s="6" t="s">
        <v>312</v>
      </c>
      <c r="C19" s="17" t="s">
        <v>313</v>
      </c>
      <c r="D19" s="17" t="s">
        <v>187</v>
      </c>
      <c r="E19" s="6" t="s">
        <v>188</v>
      </c>
      <c r="F19" s="6" t="s">
        <v>314</v>
      </c>
      <c r="G19" s="28" t="n">
        <v>1</v>
      </c>
      <c r="H19" s="28" t="n">
        <v>1</v>
      </c>
      <c r="I19" s="19" t="n">
        <f aca="false">G19*H19</f>
        <v>1</v>
      </c>
      <c r="J19" s="17" t="s">
        <v>92</v>
      </c>
    </row>
    <row r="20" customFormat="false" ht="28.35" hidden="false" customHeight="false" outlineLevel="0" collapsed="false">
      <c r="A20" s="17" t="s">
        <v>134</v>
      </c>
      <c r="B20" s="6" t="s">
        <v>312</v>
      </c>
      <c r="C20" s="17" t="s">
        <v>313</v>
      </c>
      <c r="D20" s="17" t="s">
        <v>190</v>
      </c>
      <c r="E20" s="6" t="s">
        <v>315</v>
      </c>
      <c r="F20" s="6" t="s">
        <v>316</v>
      </c>
      <c r="G20" s="28" t="n">
        <v>1</v>
      </c>
      <c r="H20" s="28" t="n">
        <v>1</v>
      </c>
      <c r="I20" s="19" t="n">
        <f aca="false">G20*H20</f>
        <v>1</v>
      </c>
      <c r="J20" s="17" t="s">
        <v>92</v>
      </c>
    </row>
    <row r="21" customFormat="false" ht="28.35" hidden="false" customHeight="false" outlineLevel="0" collapsed="false">
      <c r="A21" s="17" t="s">
        <v>134</v>
      </c>
      <c r="B21" s="6" t="s">
        <v>312</v>
      </c>
      <c r="C21" s="17" t="s">
        <v>313</v>
      </c>
      <c r="D21" s="17" t="s">
        <v>193</v>
      </c>
      <c r="E21" s="6" t="s">
        <v>317</v>
      </c>
      <c r="F21" s="6" t="s">
        <v>316</v>
      </c>
      <c r="G21" s="28" t="n">
        <v>1</v>
      </c>
      <c r="H21" s="28" t="n">
        <v>1</v>
      </c>
      <c r="I21" s="19" t="n">
        <f aca="false">G21*H21</f>
        <v>1</v>
      </c>
      <c r="J21" s="17" t="s">
        <v>92</v>
      </c>
    </row>
    <row r="22" customFormat="false" ht="28.35" hidden="false" customHeight="false" outlineLevel="0" collapsed="false">
      <c r="A22" s="17" t="s">
        <v>134</v>
      </c>
      <c r="B22" s="6" t="s">
        <v>312</v>
      </c>
      <c r="C22" s="17" t="s">
        <v>313</v>
      </c>
      <c r="D22" s="17" t="s">
        <v>195</v>
      </c>
      <c r="E22" s="6" t="s">
        <v>318</v>
      </c>
      <c r="F22" s="6" t="s">
        <v>319</v>
      </c>
      <c r="G22" s="28" t="n">
        <v>1</v>
      </c>
      <c r="H22" s="28" t="n">
        <v>1</v>
      </c>
      <c r="I22" s="19" t="n">
        <f aca="false">G22*H22</f>
        <v>1</v>
      </c>
      <c r="J22" s="17" t="s">
        <v>92</v>
      </c>
    </row>
    <row r="23" customFormat="false" ht="28.35" hidden="false" customHeight="false" outlineLevel="0" collapsed="false">
      <c r="A23" s="17" t="s">
        <v>134</v>
      </c>
      <c r="B23" s="6" t="s">
        <v>312</v>
      </c>
      <c r="C23" s="17" t="s">
        <v>313</v>
      </c>
      <c r="D23" s="17" t="s">
        <v>198</v>
      </c>
      <c r="E23" s="6" t="s">
        <v>320</v>
      </c>
      <c r="F23" s="6" t="s">
        <v>321</v>
      </c>
      <c r="G23" s="28" t="n">
        <v>1</v>
      </c>
      <c r="H23" s="28" t="n">
        <v>1</v>
      </c>
      <c r="I23" s="19" t="n">
        <f aca="false">G23*H23</f>
        <v>1</v>
      </c>
      <c r="J23" s="17" t="s">
        <v>92</v>
      </c>
    </row>
    <row r="24" customFormat="false" ht="28.35" hidden="false" customHeight="false" outlineLevel="0" collapsed="false">
      <c r="A24" s="17" t="s">
        <v>134</v>
      </c>
      <c r="B24" s="6" t="s">
        <v>312</v>
      </c>
      <c r="C24" s="17" t="s">
        <v>313</v>
      </c>
      <c r="D24" s="17" t="s">
        <v>201</v>
      </c>
      <c r="E24" s="6" t="s">
        <v>202</v>
      </c>
      <c r="F24" s="6" t="s">
        <v>203</v>
      </c>
      <c r="G24" s="28" t="n">
        <v>1</v>
      </c>
      <c r="H24" s="28" t="n">
        <v>1</v>
      </c>
      <c r="I24" s="19" t="n">
        <f aca="false">G24*H24</f>
        <v>1</v>
      </c>
      <c r="J24" s="17" t="s">
        <v>92</v>
      </c>
    </row>
    <row r="25" customFormat="false" ht="28.35" hidden="false" customHeight="false" outlineLevel="0" collapsed="false">
      <c r="A25" s="17" t="s">
        <v>134</v>
      </c>
      <c r="B25" s="6" t="s">
        <v>312</v>
      </c>
      <c r="C25" s="17" t="s">
        <v>313</v>
      </c>
      <c r="D25" s="17" t="s">
        <v>204</v>
      </c>
      <c r="E25" s="6" t="s">
        <v>205</v>
      </c>
      <c r="F25" s="6" t="s">
        <v>206</v>
      </c>
      <c r="G25" s="28" t="n">
        <v>8</v>
      </c>
      <c r="H25" s="28" t="n">
        <v>1</v>
      </c>
      <c r="I25" s="19" t="n">
        <f aca="false">G25*H25</f>
        <v>8</v>
      </c>
      <c r="J25" s="17" t="s">
        <v>92</v>
      </c>
    </row>
    <row r="26" customFormat="false" ht="28.35" hidden="false" customHeight="false" outlineLevel="0" collapsed="false">
      <c r="A26" s="17" t="s">
        <v>134</v>
      </c>
      <c r="B26" s="6" t="s">
        <v>312</v>
      </c>
      <c r="C26" s="17" t="s">
        <v>313</v>
      </c>
      <c r="D26" s="17" t="s">
        <v>207</v>
      </c>
      <c r="E26" s="6" t="s">
        <v>208</v>
      </c>
      <c r="F26" s="6" t="s">
        <v>322</v>
      </c>
      <c r="G26" s="28" t="n">
        <v>1</v>
      </c>
      <c r="H26" s="28" t="n">
        <v>1</v>
      </c>
      <c r="I26" s="19" t="n">
        <f aca="false">G26*H26</f>
        <v>1</v>
      </c>
      <c r="J26" s="17" t="s">
        <v>92</v>
      </c>
    </row>
    <row r="27" customFormat="false" ht="28.35" hidden="false" customHeight="false" outlineLevel="0" collapsed="false">
      <c r="A27" s="17" t="s">
        <v>134</v>
      </c>
      <c r="B27" s="6" t="s">
        <v>312</v>
      </c>
      <c r="C27" s="17" t="s">
        <v>313</v>
      </c>
      <c r="D27" s="17" t="s">
        <v>210</v>
      </c>
      <c r="E27" s="6" t="s">
        <v>211</v>
      </c>
      <c r="F27" s="6" t="s">
        <v>212</v>
      </c>
      <c r="G27" s="28" t="n">
        <v>1</v>
      </c>
      <c r="H27" s="28" t="n">
        <v>1</v>
      </c>
      <c r="I27" s="19" t="n">
        <f aca="false">G27*H27</f>
        <v>1</v>
      </c>
      <c r="J27" s="17" t="s">
        <v>92</v>
      </c>
    </row>
    <row r="28" customFormat="false" ht="28.35" hidden="false" customHeight="false" outlineLevel="0" collapsed="false">
      <c r="A28" s="17" t="s">
        <v>134</v>
      </c>
      <c r="B28" s="6" t="s">
        <v>312</v>
      </c>
      <c r="C28" s="17" t="s">
        <v>313</v>
      </c>
      <c r="D28" s="17" t="s">
        <v>213</v>
      </c>
      <c r="E28" s="6" t="s">
        <v>214</v>
      </c>
      <c r="F28" s="6" t="s">
        <v>323</v>
      </c>
      <c r="G28" s="28" t="n">
        <v>1</v>
      </c>
      <c r="H28" s="28" t="n">
        <v>1</v>
      </c>
      <c r="I28" s="19" t="n">
        <f aca="false">G28*H28</f>
        <v>1</v>
      </c>
      <c r="J28" s="17" t="s">
        <v>92</v>
      </c>
    </row>
    <row r="29" customFormat="false" ht="15" hidden="false" customHeight="false" outlineLevel="0" collapsed="false">
      <c r="A29" s="17" t="s">
        <v>134</v>
      </c>
      <c r="B29" s="6" t="s">
        <v>324</v>
      </c>
      <c r="C29" s="17" t="s">
        <v>103</v>
      </c>
      <c r="D29" s="17" t="s">
        <v>217</v>
      </c>
      <c r="E29" s="6" t="s">
        <v>218</v>
      </c>
      <c r="F29" s="6" t="s">
        <v>325</v>
      </c>
      <c r="G29" s="28" t="n">
        <v>1</v>
      </c>
      <c r="H29" s="28" t="n">
        <v>1</v>
      </c>
      <c r="I29" s="19" t="n">
        <f aca="false">G29*H29</f>
        <v>1</v>
      </c>
      <c r="J29" s="17" t="s">
        <v>92</v>
      </c>
    </row>
    <row r="30" customFormat="false" ht="15" hidden="false" customHeight="false" outlineLevel="0" collapsed="false">
      <c r="A30" s="17" t="s">
        <v>134</v>
      </c>
      <c r="B30" s="6" t="s">
        <v>324</v>
      </c>
      <c r="C30" s="17" t="s">
        <v>103</v>
      </c>
      <c r="D30" s="17" t="s">
        <v>220</v>
      </c>
      <c r="E30" s="6" t="s">
        <v>326</v>
      </c>
      <c r="F30" s="6" t="s">
        <v>327</v>
      </c>
      <c r="G30" s="28" t="n">
        <v>1</v>
      </c>
      <c r="H30" s="28" t="n">
        <v>1</v>
      </c>
      <c r="I30" s="19" t="n">
        <f aca="false">G30*H30</f>
        <v>1</v>
      </c>
      <c r="J30" s="17" t="s">
        <v>92</v>
      </c>
    </row>
    <row r="31" customFormat="false" ht="15" hidden="false" customHeight="false" outlineLevel="0" collapsed="false">
      <c r="A31" s="17" t="s">
        <v>134</v>
      </c>
      <c r="B31" s="6" t="s">
        <v>324</v>
      </c>
      <c r="C31" s="17" t="s">
        <v>103</v>
      </c>
      <c r="D31" s="17" t="s">
        <v>223</v>
      </c>
      <c r="E31" s="6" t="s">
        <v>224</v>
      </c>
      <c r="F31" s="6" t="s">
        <v>225</v>
      </c>
      <c r="G31" s="28" t="n">
        <v>3</v>
      </c>
      <c r="H31" s="28" t="n">
        <v>1</v>
      </c>
      <c r="I31" s="19" t="n">
        <f aca="false">G31*H31</f>
        <v>3</v>
      </c>
      <c r="J31" s="17" t="s">
        <v>92</v>
      </c>
    </row>
    <row r="32" customFormat="false" ht="15" hidden="false" customHeight="false" outlineLevel="0" collapsed="false">
      <c r="A32" s="17" t="s">
        <v>134</v>
      </c>
      <c r="B32" s="6" t="s">
        <v>324</v>
      </c>
      <c r="C32" s="17" t="s">
        <v>103</v>
      </c>
      <c r="D32" s="17" t="s">
        <v>226</v>
      </c>
      <c r="E32" s="6" t="s">
        <v>227</v>
      </c>
      <c r="F32" s="6" t="s">
        <v>328</v>
      </c>
      <c r="G32" s="28" t="n">
        <v>6</v>
      </c>
      <c r="H32" s="28" t="n">
        <v>1</v>
      </c>
      <c r="I32" s="19" t="n">
        <f aca="false">G32*H32</f>
        <v>6</v>
      </c>
      <c r="J32" s="17" t="s">
        <v>92</v>
      </c>
    </row>
    <row r="33" customFormat="false" ht="15" hidden="false" customHeight="false" outlineLevel="0" collapsed="false">
      <c r="A33" s="17" t="s">
        <v>134</v>
      </c>
      <c r="B33" s="6" t="s">
        <v>324</v>
      </c>
      <c r="C33" s="17" t="s">
        <v>103</v>
      </c>
      <c r="D33" s="17" t="s">
        <v>229</v>
      </c>
      <c r="E33" s="6" t="s">
        <v>230</v>
      </c>
      <c r="F33" s="6" t="s">
        <v>329</v>
      </c>
      <c r="G33" s="28" t="n">
        <v>3</v>
      </c>
      <c r="H33" s="28" t="n">
        <v>1</v>
      </c>
      <c r="I33" s="19" t="n">
        <f aca="false">G33*H33</f>
        <v>3</v>
      </c>
      <c r="J33" s="17" t="s">
        <v>92</v>
      </c>
    </row>
    <row r="34" customFormat="false" ht="15" hidden="false" customHeight="false" outlineLevel="0" collapsed="false">
      <c r="A34" s="17" t="s">
        <v>134</v>
      </c>
      <c r="B34" s="6" t="s">
        <v>324</v>
      </c>
      <c r="C34" s="17" t="s">
        <v>103</v>
      </c>
      <c r="D34" s="17" t="s">
        <v>232</v>
      </c>
      <c r="E34" s="6" t="s">
        <v>330</v>
      </c>
      <c r="F34" s="6" t="s">
        <v>331</v>
      </c>
      <c r="G34" s="28" t="n">
        <v>4</v>
      </c>
      <c r="H34" s="28" t="n">
        <v>1</v>
      </c>
      <c r="I34" s="19" t="n">
        <f aca="false">G34*H34</f>
        <v>4</v>
      </c>
      <c r="J34" s="17" t="s">
        <v>92</v>
      </c>
    </row>
    <row r="35" customFormat="false" ht="15" hidden="false" customHeight="false" outlineLevel="0" collapsed="false">
      <c r="A35" s="17" t="s">
        <v>134</v>
      </c>
      <c r="B35" s="6" t="s">
        <v>324</v>
      </c>
      <c r="C35" s="17" t="s">
        <v>103</v>
      </c>
      <c r="D35" s="17" t="s">
        <v>235</v>
      </c>
      <c r="E35" s="6" t="s">
        <v>236</v>
      </c>
      <c r="F35" s="6" t="s">
        <v>332</v>
      </c>
      <c r="G35" s="28" t="n">
        <v>1</v>
      </c>
      <c r="H35" s="28" t="n">
        <v>1</v>
      </c>
      <c r="I35" s="19" t="n">
        <f aca="false">G35*H35</f>
        <v>1</v>
      </c>
      <c r="J35" s="17" t="s">
        <v>92</v>
      </c>
    </row>
    <row r="36" customFormat="false" ht="15" hidden="false" customHeight="false" outlineLevel="0" collapsed="false">
      <c r="A36" s="17" t="s">
        <v>134</v>
      </c>
      <c r="B36" s="6" t="s">
        <v>324</v>
      </c>
      <c r="C36" s="17" t="s">
        <v>103</v>
      </c>
      <c r="D36" s="17" t="s">
        <v>238</v>
      </c>
      <c r="E36" s="6" t="s">
        <v>239</v>
      </c>
      <c r="F36" s="7" t="s">
        <v>333</v>
      </c>
      <c r="G36" s="28" t="n">
        <v>3</v>
      </c>
      <c r="H36" s="28" t="n">
        <v>1</v>
      </c>
      <c r="I36" s="19" t="n">
        <f aca="false">G36*H36</f>
        <v>3</v>
      </c>
      <c r="J36" s="17" t="s">
        <v>92</v>
      </c>
    </row>
    <row r="37" customFormat="false" ht="15" hidden="false" customHeight="false" outlineLevel="0" collapsed="false">
      <c r="A37" s="17" t="s">
        <v>134</v>
      </c>
      <c r="B37" s="6" t="s">
        <v>324</v>
      </c>
      <c r="C37" s="17" t="s">
        <v>103</v>
      </c>
      <c r="D37" s="17" t="s">
        <v>241</v>
      </c>
      <c r="E37" s="6" t="s">
        <v>242</v>
      </c>
      <c r="F37" s="6" t="s">
        <v>334</v>
      </c>
      <c r="G37" s="28" t="n">
        <v>1</v>
      </c>
      <c r="H37" s="28" t="n">
        <v>1</v>
      </c>
      <c r="I37" s="19" t="n">
        <f aca="false">G37*H37</f>
        <v>1</v>
      </c>
      <c r="J37" s="17" t="s">
        <v>92</v>
      </c>
    </row>
    <row r="38" customFormat="false" ht="15" hidden="false" customHeight="false" outlineLevel="0" collapsed="false">
      <c r="A38" s="17" t="s">
        <v>134</v>
      </c>
      <c r="B38" s="6" t="s">
        <v>324</v>
      </c>
      <c r="C38" s="17" t="s">
        <v>103</v>
      </c>
      <c r="D38" s="17" t="s">
        <v>244</v>
      </c>
      <c r="E38" s="6" t="s">
        <v>245</v>
      </c>
      <c r="F38" s="6" t="s">
        <v>335</v>
      </c>
      <c r="G38" s="28" t="n">
        <v>0.5</v>
      </c>
      <c r="H38" s="28" t="n">
        <v>1</v>
      </c>
      <c r="I38" s="19" t="n">
        <f aca="false">G38*H38</f>
        <v>0.5</v>
      </c>
      <c r="J38" s="17" t="s">
        <v>151</v>
      </c>
    </row>
    <row r="39" customFormat="false" ht="15" hidden="false" customHeight="false" outlineLevel="0" collapsed="false">
      <c r="A39" s="17" t="s">
        <v>134</v>
      </c>
      <c r="B39" s="6" t="s">
        <v>107</v>
      </c>
      <c r="C39" s="17" t="s">
        <v>106</v>
      </c>
      <c r="D39" s="17" t="s">
        <v>106</v>
      </c>
      <c r="E39" s="6" t="s">
        <v>107</v>
      </c>
      <c r="F39" s="6" t="s">
        <v>336</v>
      </c>
      <c r="G39" s="28" t="n">
        <v>1</v>
      </c>
      <c r="H39" s="28" t="n">
        <v>1</v>
      </c>
      <c r="I39" s="19" t="n">
        <f aca="false">G39*H39</f>
        <v>1</v>
      </c>
      <c r="J39" s="17" t="s">
        <v>92</v>
      </c>
    </row>
    <row r="40" customFormat="false" ht="15" hidden="false" customHeight="false" outlineLevel="0" collapsed="false">
      <c r="A40" s="17" t="s">
        <v>134</v>
      </c>
      <c r="B40" s="6" t="s">
        <v>111</v>
      </c>
      <c r="C40" s="17" t="s">
        <v>110</v>
      </c>
      <c r="D40" s="17" t="s">
        <v>110</v>
      </c>
      <c r="E40" s="6" t="s">
        <v>337</v>
      </c>
      <c r="F40" s="6" t="s">
        <v>338</v>
      </c>
      <c r="G40" s="28" t="n">
        <v>1</v>
      </c>
      <c r="H40" s="28" t="n">
        <v>1</v>
      </c>
      <c r="I40" s="19" t="n">
        <f aca="false">G40*H40</f>
        <v>1</v>
      </c>
      <c r="J40" s="17" t="s">
        <v>92</v>
      </c>
    </row>
    <row r="41" customFormat="false" ht="15" hidden="false" customHeight="false" outlineLevel="0" collapsed="false">
      <c r="A41" s="17" t="s">
        <v>134</v>
      </c>
      <c r="B41" s="6" t="s">
        <v>111</v>
      </c>
      <c r="C41" s="17" t="s">
        <v>110</v>
      </c>
      <c r="D41" s="17" t="s">
        <v>252</v>
      </c>
      <c r="E41" s="6" t="s">
        <v>339</v>
      </c>
      <c r="F41" s="7" t="s">
        <v>340</v>
      </c>
      <c r="G41" s="28" t="n">
        <v>1</v>
      </c>
      <c r="H41" s="28" t="n">
        <v>1</v>
      </c>
      <c r="I41" s="19" t="n">
        <f aca="false">G41*H41</f>
        <v>1</v>
      </c>
      <c r="J41" s="17" t="s">
        <v>92</v>
      </c>
    </row>
    <row r="42" customFormat="false" ht="15" hidden="false" customHeight="false" outlineLevel="0" collapsed="false">
      <c r="A42" s="17" t="s">
        <v>134</v>
      </c>
      <c r="B42" s="6" t="s">
        <v>111</v>
      </c>
      <c r="C42" s="17" t="s">
        <v>110</v>
      </c>
      <c r="D42" s="17" t="s">
        <v>255</v>
      </c>
      <c r="E42" s="6" t="s">
        <v>256</v>
      </c>
      <c r="F42" s="6" t="s">
        <v>341</v>
      </c>
      <c r="G42" s="28" t="n">
        <v>1</v>
      </c>
      <c r="H42" s="28" t="n">
        <v>1</v>
      </c>
      <c r="I42" s="19" t="n">
        <f aca="false">G42*H42</f>
        <v>1</v>
      </c>
      <c r="J42" s="17" t="s">
        <v>92</v>
      </c>
    </row>
    <row r="43" customFormat="false" ht="15" hidden="false" customHeight="false" outlineLevel="0" collapsed="false">
      <c r="A43" s="17" t="s">
        <v>134</v>
      </c>
      <c r="B43" s="6" t="s">
        <v>111</v>
      </c>
      <c r="C43" s="17" t="s">
        <v>110</v>
      </c>
      <c r="D43" s="17" t="s">
        <v>258</v>
      </c>
      <c r="E43" s="6" t="s">
        <v>211</v>
      </c>
      <c r="F43" s="6" t="s">
        <v>260</v>
      </c>
      <c r="G43" s="28" t="n">
        <v>2</v>
      </c>
      <c r="H43" s="28" t="n">
        <v>1</v>
      </c>
      <c r="I43" s="19" t="n">
        <f aca="false">G43*H43</f>
        <v>2</v>
      </c>
      <c r="J43" s="17" t="s">
        <v>92</v>
      </c>
    </row>
    <row r="44" customFormat="false" ht="15" hidden="false" customHeight="false" outlineLevel="0" collapsed="false">
      <c r="A44" s="17" t="s">
        <v>134</v>
      </c>
      <c r="B44" s="6" t="s">
        <v>114</v>
      </c>
      <c r="C44" s="17" t="s">
        <v>113</v>
      </c>
      <c r="D44" s="17" t="s">
        <v>261</v>
      </c>
      <c r="E44" s="6" t="s">
        <v>262</v>
      </c>
      <c r="F44" s="6" t="s">
        <v>338</v>
      </c>
      <c r="G44" s="28" t="n">
        <v>1</v>
      </c>
      <c r="H44" s="28" t="n">
        <v>1</v>
      </c>
      <c r="I44" s="19" t="n">
        <f aca="false">G44*H44</f>
        <v>1</v>
      </c>
      <c r="J44" s="17" t="s">
        <v>92</v>
      </c>
    </row>
    <row r="45" customFormat="false" ht="15" hidden="false" customHeight="false" outlineLevel="0" collapsed="false">
      <c r="A45" s="17" t="s">
        <v>134</v>
      </c>
      <c r="B45" s="6" t="s">
        <v>114</v>
      </c>
      <c r="C45" s="17" t="s">
        <v>113</v>
      </c>
      <c r="D45" s="17" t="s">
        <v>263</v>
      </c>
      <c r="E45" s="6" t="s">
        <v>264</v>
      </c>
      <c r="F45" s="6" t="s">
        <v>342</v>
      </c>
      <c r="G45" s="28" t="n">
        <v>1</v>
      </c>
      <c r="H45" s="28" t="n">
        <v>1</v>
      </c>
      <c r="I45" s="19" t="n">
        <f aca="false">G45*H45</f>
        <v>1</v>
      </c>
      <c r="J45" s="17" t="s">
        <v>92</v>
      </c>
    </row>
    <row r="46" customFormat="false" ht="15" hidden="false" customHeight="false" outlineLevel="0" collapsed="false">
      <c r="A46" s="17" t="s">
        <v>134</v>
      </c>
      <c r="B46" s="6" t="s">
        <v>114</v>
      </c>
      <c r="C46" s="17" t="s">
        <v>113</v>
      </c>
      <c r="D46" s="17" t="s">
        <v>266</v>
      </c>
      <c r="E46" s="6" t="s">
        <v>267</v>
      </c>
      <c r="F46" s="6" t="s">
        <v>343</v>
      </c>
      <c r="G46" s="28" t="n">
        <v>1</v>
      </c>
      <c r="H46" s="28" t="n">
        <v>1</v>
      </c>
      <c r="I46" s="19" t="n">
        <f aca="false">G46*H46</f>
        <v>1</v>
      </c>
      <c r="J46" s="17" t="s">
        <v>92</v>
      </c>
    </row>
    <row r="47" customFormat="false" ht="15" hidden="false" customHeight="false" outlineLevel="0" collapsed="false">
      <c r="A47" s="17" t="s">
        <v>134</v>
      </c>
      <c r="B47" s="6" t="s">
        <v>114</v>
      </c>
      <c r="C47" s="17" t="s">
        <v>113</v>
      </c>
      <c r="D47" s="17" t="s">
        <v>269</v>
      </c>
      <c r="E47" s="6" t="s">
        <v>270</v>
      </c>
      <c r="F47" s="6" t="s">
        <v>271</v>
      </c>
      <c r="G47" s="28" t="n">
        <v>2</v>
      </c>
      <c r="H47" s="28" t="n">
        <v>1</v>
      </c>
      <c r="I47" s="19" t="n">
        <f aca="false">G47*H47</f>
        <v>2</v>
      </c>
      <c r="J47" s="17" t="s">
        <v>92</v>
      </c>
    </row>
    <row r="48" customFormat="false" ht="15" hidden="false" customHeight="false" outlineLevel="0" collapsed="false">
      <c r="A48" s="17" t="s">
        <v>134</v>
      </c>
      <c r="B48" s="6" t="s">
        <v>114</v>
      </c>
      <c r="C48" s="17" t="s">
        <v>113</v>
      </c>
      <c r="D48" s="17" t="s">
        <v>272</v>
      </c>
      <c r="E48" s="6" t="s">
        <v>344</v>
      </c>
      <c r="F48" s="7" t="s">
        <v>274</v>
      </c>
      <c r="G48" s="28" t="n">
        <v>25</v>
      </c>
      <c r="H48" s="28" t="n">
        <v>1</v>
      </c>
      <c r="I48" s="19" t="n">
        <f aca="false">G48*H48</f>
        <v>25</v>
      </c>
      <c r="J48" s="17" t="s">
        <v>151</v>
      </c>
    </row>
    <row r="49" customFormat="false" ht="15" hidden="false" customHeight="false" outlineLevel="0" collapsed="false">
      <c r="A49" s="17" t="s">
        <v>134</v>
      </c>
      <c r="B49" s="6" t="s">
        <v>118</v>
      </c>
      <c r="C49" s="17" t="s">
        <v>117</v>
      </c>
      <c r="D49" s="17" t="s">
        <v>275</v>
      </c>
      <c r="E49" s="6" t="s">
        <v>276</v>
      </c>
      <c r="F49" s="6" t="s">
        <v>336</v>
      </c>
      <c r="G49" s="28" t="n">
        <v>1</v>
      </c>
      <c r="H49" s="28" t="n">
        <v>1</v>
      </c>
      <c r="I49" s="19" t="n">
        <f aca="false">G49*H49</f>
        <v>1</v>
      </c>
      <c r="J49" s="17" t="s">
        <v>92</v>
      </c>
    </row>
    <row r="50" customFormat="false" ht="15" hidden="false" customHeight="false" outlineLevel="0" collapsed="false">
      <c r="A50" s="17" t="s">
        <v>134</v>
      </c>
      <c r="B50" s="6" t="s">
        <v>118</v>
      </c>
      <c r="C50" s="17" t="s">
        <v>117</v>
      </c>
      <c r="D50" s="17" t="s">
        <v>278</v>
      </c>
      <c r="E50" s="6" t="s">
        <v>279</v>
      </c>
      <c r="F50" s="6" t="s">
        <v>345</v>
      </c>
      <c r="G50" s="28" t="n">
        <v>1</v>
      </c>
      <c r="H50" s="28" t="n">
        <v>1</v>
      </c>
      <c r="I50" s="19" t="n">
        <f aca="false">G50*H50</f>
        <v>1</v>
      </c>
      <c r="J50" s="17" t="s">
        <v>92</v>
      </c>
    </row>
    <row r="51" customFormat="false" ht="15" hidden="false" customHeight="false" outlineLevel="0" collapsed="false">
      <c r="A51" s="17" t="s">
        <v>134</v>
      </c>
      <c r="B51" s="6" t="s">
        <v>118</v>
      </c>
      <c r="C51" s="17" t="s">
        <v>117</v>
      </c>
      <c r="D51" s="17" t="s">
        <v>281</v>
      </c>
      <c r="E51" s="6" t="s">
        <v>282</v>
      </c>
      <c r="F51" s="6" t="s">
        <v>346</v>
      </c>
      <c r="G51" s="28" t="n">
        <v>1</v>
      </c>
      <c r="H51" s="28" t="n">
        <v>1</v>
      </c>
      <c r="I51" s="19" t="n">
        <f aca="false">G51*H51</f>
        <v>1</v>
      </c>
      <c r="J51" s="17" t="s">
        <v>92</v>
      </c>
    </row>
    <row r="52" customFormat="false" ht="15" hidden="false" customHeight="false" outlineLevel="0" collapsed="false">
      <c r="A52" s="17" t="s">
        <v>134</v>
      </c>
      <c r="B52" s="6" t="s">
        <v>118</v>
      </c>
      <c r="C52" s="17" t="s">
        <v>117</v>
      </c>
      <c r="D52" s="17" t="s">
        <v>284</v>
      </c>
      <c r="E52" s="6" t="s">
        <v>285</v>
      </c>
      <c r="F52" s="7" t="s">
        <v>347</v>
      </c>
      <c r="G52" s="28" t="n">
        <v>1</v>
      </c>
      <c r="H52" s="28" t="n">
        <v>1</v>
      </c>
      <c r="I52" s="19" t="n">
        <f aca="false">G52*H52</f>
        <v>1</v>
      </c>
      <c r="J52" s="17" t="s">
        <v>92</v>
      </c>
    </row>
    <row r="53" customFormat="false" ht="44" hidden="false" customHeight="false" outlineLevel="0" collapsed="false">
      <c r="A53" s="29" t="s">
        <v>348</v>
      </c>
      <c r="B53" s="29"/>
      <c r="C53" s="29"/>
      <c r="D53" s="29"/>
      <c r="E53" s="29" t="s">
        <v>349</v>
      </c>
      <c r="F53" s="29" t="n">
        <f aca="false">COUNTA(D4:D52)</f>
        <v>49</v>
      </c>
      <c r="G53" s="29"/>
      <c r="H53" s="29" t="s">
        <v>350</v>
      </c>
      <c r="I53" s="29" t="n">
        <f aca="false">SUM(I4:I52)</f>
        <v>310.35</v>
      </c>
      <c r="J53" s="2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351</v>
      </c>
      <c r="B1" s="1"/>
      <c r="C1" s="1"/>
      <c r="D1" s="1"/>
      <c r="E1" s="1"/>
      <c r="F1" s="1"/>
      <c r="G1" s="1"/>
      <c r="H1" s="1"/>
      <c r="I1" s="1"/>
    </row>
    <row r="3" customFormat="false" ht="17.15" hidden="false" customHeight="false" outlineLevel="0" collapsed="false">
      <c r="A3" s="5" t="s">
        <v>352</v>
      </c>
      <c r="B3" s="5" t="s">
        <v>353</v>
      </c>
      <c r="C3" s="5" t="s">
        <v>354</v>
      </c>
      <c r="D3" s="5" t="s">
        <v>355</v>
      </c>
      <c r="E3" s="5" t="s">
        <v>356</v>
      </c>
      <c r="F3" s="4" t="s">
        <v>357</v>
      </c>
      <c r="G3" s="5" t="s">
        <v>358</v>
      </c>
      <c r="H3" s="5" t="s">
        <v>359</v>
      </c>
      <c r="I3" s="5" t="s">
        <v>58</v>
      </c>
    </row>
    <row r="4" customFormat="false" ht="15" hidden="false" customHeight="false" outlineLevel="0" collapsed="false">
      <c r="A4" s="17" t="s">
        <v>360</v>
      </c>
      <c r="B4" s="7" t="s">
        <v>361</v>
      </c>
      <c r="C4" s="6" t="s">
        <v>362</v>
      </c>
      <c r="D4" s="17" t="s">
        <v>139</v>
      </c>
      <c r="E4" s="25" t="s">
        <v>363</v>
      </c>
      <c r="F4" s="30" t="n">
        <v>0.5</v>
      </c>
      <c r="G4" s="25" t="s">
        <v>364</v>
      </c>
      <c r="H4" s="7" t="s">
        <v>365</v>
      </c>
      <c r="I4" s="6"/>
    </row>
    <row r="5" customFormat="false" ht="15" hidden="false" customHeight="false" outlineLevel="0" collapsed="false">
      <c r="A5" s="17" t="s">
        <v>366</v>
      </c>
      <c r="B5" s="7" t="s">
        <v>367</v>
      </c>
      <c r="C5" s="7" t="s">
        <v>368</v>
      </c>
      <c r="D5" s="25" t="s">
        <v>369</v>
      </c>
      <c r="E5" s="17" t="s">
        <v>135</v>
      </c>
      <c r="F5" s="30" t="n">
        <v>25</v>
      </c>
      <c r="G5" s="25" t="s">
        <v>364</v>
      </c>
      <c r="H5" s="7" t="s">
        <v>370</v>
      </c>
      <c r="I5" s="6"/>
    </row>
    <row r="6" customFormat="false" ht="15" hidden="false" customHeight="false" outlineLevel="0" collapsed="false">
      <c r="A6" s="17" t="s">
        <v>371</v>
      </c>
      <c r="B6" s="7" t="s">
        <v>372</v>
      </c>
      <c r="C6" s="7" t="s">
        <v>373</v>
      </c>
      <c r="D6" s="17" t="s">
        <v>374</v>
      </c>
      <c r="E6" s="25" t="s">
        <v>375</v>
      </c>
      <c r="F6" s="30" t="n">
        <v>20</v>
      </c>
      <c r="G6" s="25" t="s">
        <v>364</v>
      </c>
      <c r="H6" s="7" t="s">
        <v>376</v>
      </c>
      <c r="I6" s="6"/>
    </row>
    <row r="7" customFormat="false" ht="15" hidden="false" customHeight="false" outlineLevel="0" collapsed="false">
      <c r="A7" s="31" t="s">
        <v>377</v>
      </c>
      <c r="B7" s="32" t="s">
        <v>378</v>
      </c>
      <c r="C7" s="33" t="s">
        <v>379</v>
      </c>
      <c r="D7" s="31" t="s">
        <v>148</v>
      </c>
      <c r="E7" s="31" t="s">
        <v>380</v>
      </c>
      <c r="F7" s="34" t="n">
        <v>90</v>
      </c>
      <c r="G7" s="35" t="s">
        <v>381</v>
      </c>
      <c r="H7" s="32" t="s">
        <v>382</v>
      </c>
      <c r="I7" s="33" t="s">
        <v>383</v>
      </c>
    </row>
    <row r="8" customFormat="false" ht="15" hidden="false" customHeight="false" outlineLevel="0" collapsed="false">
      <c r="A8" s="17" t="s">
        <v>384</v>
      </c>
      <c r="B8" s="7" t="s">
        <v>385</v>
      </c>
      <c r="C8" s="7" t="s">
        <v>386</v>
      </c>
      <c r="D8" s="17" t="s">
        <v>387</v>
      </c>
      <c r="E8" s="25" t="s">
        <v>388</v>
      </c>
      <c r="F8" s="30" t="n">
        <v>40</v>
      </c>
      <c r="G8" s="25" t="s">
        <v>364</v>
      </c>
      <c r="H8" s="7" t="s">
        <v>389</v>
      </c>
      <c r="I8" s="6"/>
    </row>
    <row r="9" customFormat="false" ht="15" hidden="false" customHeight="false" outlineLevel="0" collapsed="false">
      <c r="A9" s="17" t="s">
        <v>390</v>
      </c>
      <c r="B9" s="7" t="s">
        <v>391</v>
      </c>
      <c r="C9" s="7" t="s">
        <v>392</v>
      </c>
      <c r="D9" s="17" t="s">
        <v>393</v>
      </c>
      <c r="E9" s="25" t="s">
        <v>394</v>
      </c>
      <c r="F9" s="30" t="n">
        <v>30</v>
      </c>
      <c r="G9" s="25" t="s">
        <v>364</v>
      </c>
      <c r="H9" s="7" t="s">
        <v>395</v>
      </c>
      <c r="I9" s="6"/>
    </row>
    <row r="10" customFormat="false" ht="15" hidden="false" customHeight="false" outlineLevel="0" collapsed="false">
      <c r="A10" s="36" t="s">
        <v>396</v>
      </c>
      <c r="B10" s="37" t="s">
        <v>397</v>
      </c>
      <c r="C10" s="38" t="s">
        <v>398</v>
      </c>
      <c r="D10" s="36" t="s">
        <v>387</v>
      </c>
      <c r="E10" s="36" t="s">
        <v>399</v>
      </c>
      <c r="F10" s="39" t="n">
        <v>15</v>
      </c>
      <c r="G10" s="36" t="s">
        <v>400</v>
      </c>
      <c r="H10" s="38" t="s">
        <v>401</v>
      </c>
      <c r="I10" s="38" t="s">
        <v>402</v>
      </c>
    </row>
    <row r="11" customFormat="false" ht="15" hidden="false" customHeight="false" outlineLevel="0" collapsed="false">
      <c r="A11" s="40" t="s">
        <v>403</v>
      </c>
      <c r="B11" s="41" t="s">
        <v>404</v>
      </c>
      <c r="C11" s="41" t="s">
        <v>405</v>
      </c>
      <c r="D11" s="40" t="s">
        <v>162</v>
      </c>
      <c r="E11" s="42" t="s">
        <v>406</v>
      </c>
      <c r="F11" s="43" t="n">
        <v>300</v>
      </c>
      <c r="G11" s="42" t="s">
        <v>407</v>
      </c>
      <c r="H11" s="41" t="s">
        <v>408</v>
      </c>
      <c r="I11" s="44" t="s">
        <v>409</v>
      </c>
    </row>
    <row r="12" customFormat="false" ht="15" hidden="false" customHeight="false" outlineLevel="0" collapsed="false">
      <c r="A12" s="40" t="s">
        <v>410</v>
      </c>
      <c r="B12" s="41" t="s">
        <v>411</v>
      </c>
      <c r="C12" s="41" t="s">
        <v>412</v>
      </c>
      <c r="D12" s="40" t="s">
        <v>387</v>
      </c>
      <c r="E12" s="42" t="s">
        <v>413</v>
      </c>
      <c r="F12" s="43" t="n">
        <v>3600</v>
      </c>
      <c r="G12" s="42" t="s">
        <v>407</v>
      </c>
      <c r="H12" s="41" t="s">
        <v>414</v>
      </c>
      <c r="I12" s="44" t="s">
        <v>409</v>
      </c>
    </row>
    <row r="13" customFormat="false" ht="15" hidden="false" customHeight="false" outlineLevel="0" collapsed="false">
      <c r="A13" s="45" t="s">
        <v>415</v>
      </c>
      <c r="B13" s="46" t="s">
        <v>416</v>
      </c>
      <c r="C13" s="47" t="s">
        <v>417</v>
      </c>
      <c r="D13" s="45" t="s">
        <v>387</v>
      </c>
      <c r="E13" s="45" t="s">
        <v>418</v>
      </c>
      <c r="F13" s="48" t="n">
        <v>20</v>
      </c>
      <c r="G13" s="49" t="s">
        <v>419</v>
      </c>
      <c r="H13" s="46" t="s">
        <v>420</v>
      </c>
      <c r="I13" s="46" t="s">
        <v>421</v>
      </c>
    </row>
    <row r="14" customFormat="false" ht="29.85" hidden="false" customHeight="false" outlineLevel="0" collapsed="false">
      <c r="A14" s="18"/>
      <c r="B14" s="18" t="s">
        <v>422</v>
      </c>
      <c r="C14" s="18"/>
      <c r="D14" s="18"/>
      <c r="E14" s="18"/>
      <c r="F14" s="50" t="n">
        <f aca="false">SUM(F4:F13)</f>
        <v>4140.5</v>
      </c>
      <c r="G14" s="18"/>
      <c r="H14" s="18"/>
      <c r="I14" s="18"/>
    </row>
    <row r="15" customFormat="false" ht="29.85" hidden="false" customHeight="false" outlineLevel="0" collapsed="false">
      <c r="A15" s="18"/>
      <c r="B15" s="18" t="s">
        <v>423</v>
      </c>
      <c r="C15" s="18"/>
      <c r="D15" s="18"/>
      <c r="E15" s="18"/>
      <c r="F15" s="50" t="n">
        <f aca="false">SUMIFS(F4:F13,G4:G13,"&lt;&gt;배치")</f>
        <v>240.5</v>
      </c>
      <c r="G15" s="18"/>
      <c r="H15" s="18"/>
      <c r="I15" s="1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7" min="6" style="0" width="10"/>
    <col collapsed="false" customWidth="true" hidden="false" outlineLevel="0" max="8" min="8" style="0" width="30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  <c r="H1" s="1"/>
      <c r="I1" s="1"/>
    </row>
    <row r="3" customFormat="false" ht="17.15" hidden="false" customHeight="false" outlineLevel="0" collapsed="false">
      <c r="A3" s="5" t="s">
        <v>352</v>
      </c>
      <c r="B3" s="5" t="s">
        <v>353</v>
      </c>
      <c r="C3" s="5" t="s">
        <v>354</v>
      </c>
      <c r="D3" s="5" t="s">
        <v>355</v>
      </c>
      <c r="E3" s="5" t="s">
        <v>356</v>
      </c>
      <c r="F3" s="4" t="s">
        <v>357</v>
      </c>
      <c r="G3" s="5" t="s">
        <v>358</v>
      </c>
      <c r="H3" s="5" t="s">
        <v>359</v>
      </c>
      <c r="I3" s="5" t="s">
        <v>58</v>
      </c>
    </row>
    <row r="4" customFormat="false" ht="15" hidden="false" customHeight="false" outlineLevel="0" collapsed="false">
      <c r="A4" s="17" t="s">
        <v>425</v>
      </c>
      <c r="B4" s="7" t="s">
        <v>426</v>
      </c>
      <c r="C4" s="7" t="s">
        <v>427</v>
      </c>
      <c r="D4" s="17" t="s">
        <v>428</v>
      </c>
      <c r="E4" s="25" t="s">
        <v>429</v>
      </c>
      <c r="F4" s="30" t="n">
        <v>15</v>
      </c>
      <c r="G4" s="25" t="s">
        <v>364</v>
      </c>
      <c r="H4" s="7" t="s">
        <v>430</v>
      </c>
      <c r="I4" s="6"/>
    </row>
    <row r="5" customFormat="false" ht="15" hidden="false" customHeight="false" outlineLevel="0" collapsed="false">
      <c r="A5" s="17" t="s">
        <v>431</v>
      </c>
      <c r="B5" s="7" t="s">
        <v>432</v>
      </c>
      <c r="C5" s="7" t="s">
        <v>433</v>
      </c>
      <c r="D5" s="17" t="s">
        <v>434</v>
      </c>
      <c r="E5" s="25" t="s">
        <v>435</v>
      </c>
      <c r="F5" s="30" t="n">
        <v>40</v>
      </c>
      <c r="G5" s="25" t="s">
        <v>364</v>
      </c>
      <c r="H5" s="7" t="s">
        <v>436</v>
      </c>
      <c r="I5" s="6"/>
    </row>
    <row r="6" customFormat="false" ht="15" hidden="false" customHeight="false" outlineLevel="0" collapsed="false">
      <c r="A6" s="17" t="s">
        <v>437</v>
      </c>
      <c r="B6" s="7" t="s">
        <v>438</v>
      </c>
      <c r="C6" s="7" t="s">
        <v>439</v>
      </c>
      <c r="D6" s="17" t="s">
        <v>387</v>
      </c>
      <c r="E6" s="25" t="s">
        <v>440</v>
      </c>
      <c r="F6" s="30" t="n">
        <v>10</v>
      </c>
      <c r="G6" s="25" t="s">
        <v>364</v>
      </c>
      <c r="H6" s="6" t="s">
        <v>441</v>
      </c>
      <c r="I6" s="6"/>
    </row>
    <row r="7" customFormat="false" ht="15" hidden="false" customHeight="false" outlineLevel="0" collapsed="false">
      <c r="A7" s="17" t="s">
        <v>442</v>
      </c>
      <c r="B7" s="7" t="s">
        <v>443</v>
      </c>
      <c r="C7" s="7" t="s">
        <v>444</v>
      </c>
      <c r="D7" s="17" t="s">
        <v>183</v>
      </c>
      <c r="E7" s="17" t="s">
        <v>445</v>
      </c>
      <c r="F7" s="30" t="n">
        <v>45</v>
      </c>
      <c r="G7" s="25" t="s">
        <v>364</v>
      </c>
      <c r="H7" s="7" t="s">
        <v>446</v>
      </c>
      <c r="I7" s="6"/>
    </row>
    <row r="8" customFormat="false" ht="15" hidden="false" customHeight="false" outlineLevel="0" collapsed="false">
      <c r="A8" s="17" t="s">
        <v>447</v>
      </c>
      <c r="B8" s="7" t="s">
        <v>448</v>
      </c>
      <c r="C8" s="7" t="s">
        <v>449</v>
      </c>
      <c r="D8" s="17" t="s">
        <v>450</v>
      </c>
      <c r="E8" s="25" t="s">
        <v>451</v>
      </c>
      <c r="F8" s="30" t="n">
        <v>30</v>
      </c>
      <c r="G8" s="25" t="s">
        <v>364</v>
      </c>
      <c r="H8" s="7" t="s">
        <v>452</v>
      </c>
      <c r="I8" s="6"/>
    </row>
    <row r="9" customFormat="false" ht="28.35" hidden="false" customHeight="false" outlineLevel="0" collapsed="false">
      <c r="A9" s="17" t="s">
        <v>453</v>
      </c>
      <c r="B9" s="7" t="s">
        <v>454</v>
      </c>
      <c r="C9" s="7" t="s">
        <v>455</v>
      </c>
      <c r="D9" s="17" t="s">
        <v>456</v>
      </c>
      <c r="E9" s="25" t="s">
        <v>457</v>
      </c>
      <c r="F9" s="30" t="n">
        <v>25</v>
      </c>
      <c r="G9" s="25" t="s">
        <v>364</v>
      </c>
      <c r="H9" s="7" t="s">
        <v>458</v>
      </c>
      <c r="I9" s="6"/>
    </row>
    <row r="10" customFormat="false" ht="15" hidden="false" customHeight="false" outlineLevel="0" collapsed="false">
      <c r="A10" s="17" t="s">
        <v>459</v>
      </c>
      <c r="B10" s="7" t="s">
        <v>460</v>
      </c>
      <c r="C10" s="7" t="s">
        <v>461</v>
      </c>
      <c r="D10" s="17" t="s">
        <v>95</v>
      </c>
      <c r="E10" s="25" t="s">
        <v>462</v>
      </c>
      <c r="F10" s="30" t="n">
        <v>20</v>
      </c>
      <c r="G10" s="25" t="s">
        <v>364</v>
      </c>
      <c r="H10" s="7" t="s">
        <v>463</v>
      </c>
      <c r="I10" s="6"/>
    </row>
    <row r="11" customFormat="false" ht="15" hidden="false" customHeight="false" outlineLevel="0" collapsed="false">
      <c r="A11" s="17" t="s">
        <v>464</v>
      </c>
      <c r="B11" s="7" t="s">
        <v>465</v>
      </c>
      <c r="C11" s="7" t="s">
        <v>466</v>
      </c>
      <c r="D11" s="17" t="s">
        <v>467</v>
      </c>
      <c r="E11" s="25" t="s">
        <v>468</v>
      </c>
      <c r="F11" s="30" t="n">
        <v>30</v>
      </c>
      <c r="G11" s="25" t="s">
        <v>364</v>
      </c>
      <c r="H11" s="7" t="s">
        <v>469</v>
      </c>
      <c r="I11" s="6"/>
    </row>
    <row r="12" customFormat="false" ht="15" hidden="false" customHeight="false" outlineLevel="0" collapsed="false">
      <c r="A12" s="17" t="s">
        <v>470</v>
      </c>
      <c r="B12" s="7" t="s">
        <v>471</v>
      </c>
      <c r="C12" s="7" t="s">
        <v>472</v>
      </c>
      <c r="D12" s="17" t="s">
        <v>473</v>
      </c>
      <c r="E12" s="17" t="s">
        <v>474</v>
      </c>
      <c r="F12" s="30" t="n">
        <v>50</v>
      </c>
      <c r="G12" s="25" t="s">
        <v>364</v>
      </c>
      <c r="H12" s="7" t="s">
        <v>475</v>
      </c>
      <c r="I12" s="7" t="s">
        <v>476</v>
      </c>
    </row>
    <row r="13" customFormat="false" ht="15" hidden="false" customHeight="false" outlineLevel="0" collapsed="false">
      <c r="A13" s="17" t="s">
        <v>477</v>
      </c>
      <c r="B13" s="7" t="s">
        <v>478</v>
      </c>
      <c r="C13" s="7" t="s">
        <v>479</v>
      </c>
      <c r="D13" s="17" t="s">
        <v>480</v>
      </c>
      <c r="E13" s="17" t="s">
        <v>481</v>
      </c>
      <c r="F13" s="30" t="n">
        <v>25</v>
      </c>
      <c r="G13" s="25" t="s">
        <v>364</v>
      </c>
      <c r="H13" s="7" t="s">
        <v>482</v>
      </c>
      <c r="I13" s="7" t="s">
        <v>476</v>
      </c>
    </row>
    <row r="14" customFormat="false" ht="15" hidden="false" customHeight="false" outlineLevel="0" collapsed="false">
      <c r="A14" s="17" t="s">
        <v>483</v>
      </c>
      <c r="B14" s="6" t="s">
        <v>484</v>
      </c>
      <c r="C14" s="6" t="s">
        <v>485</v>
      </c>
      <c r="D14" s="17" t="s">
        <v>486</v>
      </c>
      <c r="E14" s="25" t="s">
        <v>487</v>
      </c>
      <c r="F14" s="30" t="n">
        <v>60</v>
      </c>
      <c r="G14" s="25" t="s">
        <v>364</v>
      </c>
      <c r="H14" s="7" t="s">
        <v>488</v>
      </c>
      <c r="I14" s="6"/>
    </row>
    <row r="15" customFormat="false" ht="28.35" hidden="false" customHeight="false" outlineLevel="0" collapsed="false">
      <c r="A15" s="17" t="s">
        <v>489</v>
      </c>
      <c r="B15" s="7" t="s">
        <v>490</v>
      </c>
      <c r="C15" s="7" t="s">
        <v>491</v>
      </c>
      <c r="D15" s="17" t="s">
        <v>492</v>
      </c>
      <c r="E15" s="25" t="s">
        <v>493</v>
      </c>
      <c r="F15" s="30" t="n">
        <v>25</v>
      </c>
      <c r="G15" s="25" t="s">
        <v>364</v>
      </c>
      <c r="H15" s="7" t="s">
        <v>494</v>
      </c>
      <c r="I15" s="6"/>
    </row>
    <row r="16" customFormat="false" ht="29.85" hidden="false" customHeight="false" outlineLevel="0" collapsed="false">
      <c r="A16" s="31" t="s">
        <v>495</v>
      </c>
      <c r="B16" s="33" t="s">
        <v>496</v>
      </c>
      <c r="C16" s="33" t="s">
        <v>497</v>
      </c>
      <c r="D16" s="31" t="s">
        <v>387</v>
      </c>
      <c r="E16" s="35" t="s">
        <v>498</v>
      </c>
      <c r="F16" s="34" t="n">
        <v>60</v>
      </c>
      <c r="G16" s="35" t="s">
        <v>381</v>
      </c>
      <c r="H16" s="33" t="s">
        <v>499</v>
      </c>
      <c r="I16" s="32" t="s">
        <v>500</v>
      </c>
    </row>
    <row r="17" customFormat="false" ht="15" hidden="false" customHeight="false" outlineLevel="0" collapsed="false">
      <c r="A17" s="45" t="s">
        <v>501</v>
      </c>
      <c r="B17" s="46" t="s">
        <v>502</v>
      </c>
      <c r="C17" s="46" t="s">
        <v>503</v>
      </c>
      <c r="D17" s="45" t="s">
        <v>504</v>
      </c>
      <c r="E17" s="49" t="s">
        <v>505</v>
      </c>
      <c r="F17" s="48" t="n">
        <v>30</v>
      </c>
      <c r="G17" s="49" t="s">
        <v>419</v>
      </c>
      <c r="H17" s="46" t="s">
        <v>506</v>
      </c>
      <c r="I17" s="46" t="s">
        <v>507</v>
      </c>
    </row>
    <row r="18" customFormat="false" ht="15" hidden="false" customHeight="false" outlineLevel="0" collapsed="false">
      <c r="A18" s="18"/>
      <c r="B18" s="18" t="s">
        <v>508</v>
      </c>
      <c r="C18" s="18"/>
      <c r="D18" s="18"/>
      <c r="E18" s="18"/>
      <c r="F18" s="50" t="n">
        <f aca="false">SUM(F4:F17)</f>
        <v>465</v>
      </c>
      <c r="G18" s="18"/>
      <c r="H18" s="18"/>
      <c r="I18" s="1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27" t="s">
        <v>509</v>
      </c>
      <c r="B1" s="27"/>
      <c r="C1" s="27"/>
      <c r="D1" s="27"/>
      <c r="E1" s="27"/>
    </row>
    <row r="3" customFormat="false" ht="15" hidden="false" customHeight="false" outlineLevel="0" collapsed="false">
      <c r="A3" s="51" t="s">
        <v>510</v>
      </c>
      <c r="B3" s="28" t="n">
        <v>20</v>
      </c>
    </row>
    <row r="4" customFormat="false" ht="15" hidden="false" customHeight="false" outlineLevel="0" collapsed="false">
      <c r="A4" s="51" t="s">
        <v>511</v>
      </c>
      <c r="B4" s="52" t="n">
        <v>0.85</v>
      </c>
    </row>
    <row r="5" customFormat="false" ht="15" hidden="false" customHeight="false" outlineLevel="0" collapsed="false">
      <c r="A5" s="51" t="s">
        <v>512</v>
      </c>
      <c r="B5" s="53" t="n">
        <f aca="false">B3*3600*B4</f>
        <v>61200</v>
      </c>
    </row>
    <row r="7" customFormat="false" ht="17.15" hidden="false" customHeight="false" outlineLevel="0" collapsed="false">
      <c r="A7" s="5" t="s">
        <v>513</v>
      </c>
      <c r="B7" s="5" t="s">
        <v>514</v>
      </c>
      <c r="C7" s="5" t="s">
        <v>515</v>
      </c>
      <c r="D7" s="4" t="s">
        <v>516</v>
      </c>
      <c r="E7" s="5" t="s">
        <v>517</v>
      </c>
    </row>
    <row r="8" customFormat="false" ht="15" hidden="false" customHeight="false" outlineLevel="0" collapsed="false">
      <c r="A8" s="7" t="s">
        <v>518</v>
      </c>
      <c r="B8" s="17" t="s">
        <v>519</v>
      </c>
      <c r="C8" s="28" t="n">
        <v>45</v>
      </c>
      <c r="D8" s="54" t="n">
        <f aca="false">3600/C8</f>
        <v>80</v>
      </c>
      <c r="E8" s="53" t="n">
        <f aca="false">$B$5/C8</f>
        <v>1360</v>
      </c>
    </row>
    <row r="9" customFormat="false" ht="15" hidden="false" customHeight="false" outlineLevel="0" collapsed="false">
      <c r="A9" s="7" t="s">
        <v>101</v>
      </c>
      <c r="B9" s="17" t="s">
        <v>520</v>
      </c>
      <c r="C9" s="28" t="n">
        <v>60</v>
      </c>
      <c r="D9" s="54" t="n">
        <f aca="false">3600/C9</f>
        <v>60</v>
      </c>
      <c r="E9" s="53" t="n">
        <f aca="false">$B$5/C9</f>
        <v>1020</v>
      </c>
    </row>
    <row r="10" customFormat="false" ht="15" hidden="false" customHeight="false" outlineLevel="0" collapsed="false">
      <c r="A10" s="18" t="s">
        <v>521</v>
      </c>
      <c r="B10" s="29"/>
      <c r="C10" s="29"/>
      <c r="D10" s="50" t="n">
        <f aca="false">MIN(D8:D9)</f>
        <v>60</v>
      </c>
      <c r="E10" s="26" t="n">
        <f aca="false">MIN(E8:E9)</f>
        <v>1020</v>
      </c>
    </row>
    <row r="13" customFormat="false" ht="15" hidden="false" customHeight="false" outlineLevel="0" collapsed="false">
      <c r="A13" s="3" t="s">
        <v>522</v>
      </c>
      <c r="B13" s="21" t="n">
        <v>60</v>
      </c>
    </row>
    <row r="14" customFormat="false" ht="15" hidden="false" customHeight="false" outlineLevel="0" collapsed="false">
      <c r="A14" s="3" t="s">
        <v>523</v>
      </c>
      <c r="B14" s="55" t="n">
        <f aca="false">D11/B13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2026-09-09T12:27:21Z</dcterms:created>
  <dc:creator>openpyxl</dc:creator>
  <dc:description/>
  <dc:language>en-US</dc:language>
  <cp:lastModifiedBy/>
  <dcterms:modified xsi:type="dcterms:W3CDTF">2026-09-09T12:27:21Z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